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<sst xmlns="http://schemas.openxmlformats.org/spreadsheetml/2006/main" count="547" uniqueCount="213">
  <si>
    <t>n = Natural Numbers</t>
  </si>
  <si>
    <t>N = Whole Numbers</t>
  </si>
  <si>
    <t>(n0)</t>
  </si>
  <si>
    <t>(n1)</t>
  </si>
  <si>
    <t>(n2)</t>
  </si>
  <si>
    <t>(n3)</t>
  </si>
  <si>
    <t>(n4)</t>
  </si>
  <si>
    <t>(n5)</t>
  </si>
  <si>
    <t>N0</t>
  </si>
  <si>
    <t>N1</t>
  </si>
  <si>
    <t>N2</t>
  </si>
  <si>
    <t>N3</t>
  </si>
  <si>
    <t>N4</t>
  </si>
  <si>
    <t>N5</t>
  </si>
  <si>
    <t>n0 =</t>
  </si>
  <si>
    <t>n</t>
  </si>
  <si>
    <t>N0 =</t>
  </si>
  <si>
    <t>N</t>
  </si>
  <si>
    <t xml:space="preserve">n1 = </t>
  </si>
  <si>
    <t>(-1) x (n-1)-squared</t>
  </si>
  <si>
    <t>N1 =</t>
  </si>
  <si>
    <t xml:space="preserve">(N+N) - (N x N) - (N÷N) </t>
  </si>
  <si>
    <t xml:space="preserve">n2 = </t>
  </si>
  <si>
    <t>(n + 1)-squared</t>
  </si>
  <si>
    <t>N2 =</t>
  </si>
  <si>
    <t xml:space="preserve">(N+N) + (N x N) + (N÷N) </t>
  </si>
  <si>
    <t>n3 =</t>
  </si>
  <si>
    <t>n x (n+1) + (n-1)</t>
  </si>
  <si>
    <t>N3 =</t>
  </si>
  <si>
    <t xml:space="preserve">(N+N) + (N x N) - (N÷N) </t>
  </si>
  <si>
    <t>n4 =</t>
  </si>
  <si>
    <t>(n-1) x (-1 x (n-1)) + 2</t>
  </si>
  <si>
    <t>N4 =</t>
  </si>
  <si>
    <t xml:space="preserve">(N+N) - (N x N) + (N÷N) </t>
  </si>
  <si>
    <t>n5=</t>
  </si>
  <si>
    <t>8n</t>
  </si>
  <si>
    <t>N5 =</t>
  </si>
  <si>
    <t xml:space="preserve">(N+N) + and/or - (N x N) + and/or - (N÷N) </t>
  </si>
  <si>
    <t xml:space="preserve"> =</t>
  </si>
  <si>
    <t xml:space="preserve">  =</t>
  </si>
  <si>
    <t>Factors</t>
  </si>
  <si>
    <t>Factorial</t>
  </si>
  <si>
    <t xml:space="preserve">   + </t>
  </si>
  <si>
    <t xml:space="preserve">   - </t>
  </si>
  <si>
    <t>4 nondual Functions: (), +/-, x/÷, and/or  - Zero Logic</t>
  </si>
  <si>
    <t>Core "Quaternal" Number Set - 0,1,2,3,4,5,8</t>
  </si>
  <si>
    <t>. =</t>
  </si>
  <si>
    <t>(N0</t>
  </si>
  <si>
    <t>0)</t>
  </si>
  <si>
    <t>N5/0</t>
  </si>
  <si>
    <t>0/1)</t>
  </si>
  <si>
    <t>-1/0</t>
  </si>
  <si>
    <t>0/1</t>
  </si>
  <si>
    <t>-1 / 0 / 1</t>
  </si>
  <si>
    <t>1 / 2 / 3</t>
  </si>
  <si>
    <r>
      <rPr>
        <rFont val="Arial"/>
        <color rgb="FF9900FF"/>
        <sz val="24.0"/>
      </rPr>
      <t>0</t>
    </r>
    <r>
      <rPr>
        <rFont val="Arial"/>
        <color theme="1"/>
        <sz val="24.0"/>
      </rPr>
      <t>/</t>
    </r>
    <r>
      <rPr>
        <rFont val="Arial"/>
        <color rgb="FFFF00FF"/>
        <sz val="24.0"/>
      </rPr>
      <t>0</t>
    </r>
  </si>
  <si>
    <t xml:space="preserve"> 0 x 1-4</t>
  </si>
  <si>
    <t>0 definite</t>
  </si>
  <si>
    <t>0/8</t>
  </si>
  <si>
    <t>-1/2</t>
  </si>
  <si>
    <t>0 / 8 / 12</t>
  </si>
  <si>
    <t>-1 / 2 / 3</t>
  </si>
  <si>
    <t>1 / 4 / 5</t>
  </si>
  <si>
    <t>0/1 x 1-4</t>
  </si>
  <si>
    <t>Differences</t>
  </si>
  <si>
    <t xml:space="preserve"> = 0</t>
  </si>
  <si>
    <t xml:space="preserve"> = -2</t>
  </si>
  <si>
    <t xml:space="preserve"> = 2</t>
  </si>
  <si>
    <r>
      <rPr>
        <rFont val="Arial"/>
        <color rgb="FF9900FF"/>
        <sz val="20.0"/>
      </rPr>
      <t xml:space="preserve">  =</t>
    </r>
    <r>
      <rPr>
        <rFont val="Arial"/>
        <color rgb="FF9900FF"/>
        <sz val="24.0"/>
      </rPr>
      <t xml:space="preserve"> 0</t>
    </r>
  </si>
  <si>
    <t>0 / 0 = 0</t>
  </si>
  <si>
    <t>N1 + N0</t>
  </si>
  <si>
    <t>N4 + N0</t>
  </si>
  <si>
    <t xml:space="preserve"> = +/- 0</t>
  </si>
  <si>
    <t xml:space="preserve"> = +/- 2</t>
  </si>
  <si>
    <t xml:space="preserve"> = -2/2/-2/2</t>
  </si>
  <si>
    <t xml:space="preserve"> 0/1</t>
  </si>
  <si>
    <t>N3 + N0</t>
  </si>
  <si>
    <t>N2 + N0</t>
  </si>
  <si>
    <t>N0 x 4</t>
  </si>
  <si>
    <t>n to 0 is xn</t>
  </si>
  <si>
    <t>1 x 1-4</t>
  </si>
  <si>
    <t>?/0</t>
  </si>
  <si>
    <t>?/2</t>
  </si>
  <si>
    <t>?/1</t>
  </si>
  <si>
    <t>? / 0 / 1</t>
  </si>
  <si>
    <t>? / 2 / 3</t>
  </si>
  <si>
    <t>1)</t>
  </si>
  <si>
    <t>0 indefinite</t>
  </si>
  <si>
    <t>?/8</t>
  </si>
  <si>
    <t>?/4</t>
  </si>
  <si>
    <t>? / 8 / 12</t>
  </si>
  <si>
    <t>? / 4 / 5</t>
  </si>
  <si>
    <t>?/1 x 1-4</t>
  </si>
  <si>
    <t xml:space="preserve"> -1/1</t>
  </si>
  <si>
    <t xml:space="preserve"> = 4</t>
  </si>
  <si>
    <t xml:space="preserve"> = 6</t>
  </si>
  <si>
    <r>
      <rPr>
        <rFont val="Arial"/>
        <color rgb="FF9900FF"/>
        <sz val="20.0"/>
      </rPr>
      <t xml:space="preserve">  =</t>
    </r>
    <r>
      <rPr>
        <rFont val="Arial"/>
        <color rgb="FFFF00FF"/>
        <sz val="24.0"/>
      </rPr>
      <t xml:space="preserve"> </t>
    </r>
    <r>
      <rPr>
        <rFont val="Arial"/>
        <color rgb="FF9900FF"/>
        <sz val="20.0"/>
      </rPr>
      <t>8</t>
    </r>
  </si>
  <si>
    <t>4 / 8 = 0.5</t>
  </si>
  <si>
    <t xml:space="preserve"> 16/24</t>
  </si>
  <si>
    <t>2 x 1-4</t>
  </si>
  <si>
    <t xml:space="preserve"> = +/- 4</t>
  </si>
  <si>
    <t xml:space="preserve"> = -8/0/-4/-4</t>
  </si>
  <si>
    <t>n to 4 is 4 x (n-squared)</t>
  </si>
  <si>
    <t>2)</t>
  </si>
  <si>
    <t xml:space="preserve"> -4/-1</t>
  </si>
  <si>
    <t>-2/1</t>
  </si>
  <si>
    <t xml:space="preserve"> 24/36</t>
  </si>
  <si>
    <t>14/17</t>
  </si>
  <si>
    <t>16/19</t>
  </si>
  <si>
    <t xml:space="preserve"> 3 x 1-4</t>
  </si>
  <si>
    <t xml:space="preserve"> = 8</t>
  </si>
  <si>
    <t xml:space="preserve"> = 10</t>
  </si>
  <si>
    <t xml:space="preserve"> = 16</t>
  </si>
  <si>
    <r>
      <rPr>
        <rFont val="Arial"/>
        <color rgb="FF9900FF"/>
        <sz val="20.0"/>
      </rPr>
      <t xml:space="preserve">  =</t>
    </r>
    <r>
      <rPr>
        <rFont val="Arial"/>
        <color rgb="FF9900FF"/>
        <sz val="24.0"/>
      </rPr>
      <t xml:space="preserve"> 16</t>
    </r>
  </si>
  <si>
    <t>16 / 16 = 1</t>
  </si>
  <si>
    <t xml:space="preserve"> = +/- 10</t>
  </si>
  <si>
    <t xml:space="preserve"> = +/- 6</t>
  </si>
  <si>
    <t xml:space="preserve"> = +/- 8</t>
  </si>
  <si>
    <t xml:space="preserve"> = -18/2/-2/-14</t>
  </si>
  <si>
    <t>n to 16 is (2n)-squared</t>
  </si>
  <si>
    <t>3)</t>
  </si>
  <si>
    <t xml:space="preserve"> = 12</t>
  </si>
  <si>
    <r>
      <rPr>
        <rFont val="Arial"/>
        <color rgb="FFFF0000"/>
        <sz val="24.0"/>
      </rPr>
      <t xml:space="preserve"> = </t>
    </r>
    <r>
      <rPr>
        <rFont val="Arial"/>
        <color rgb="FFFF0000"/>
        <sz val="20.0"/>
      </rPr>
      <t>10</t>
    </r>
  </si>
  <si>
    <t xml:space="preserve"> = 14</t>
  </si>
  <si>
    <t xml:space="preserve"> = -6</t>
  </si>
  <si>
    <t xml:space="preserve"> = 30</t>
  </si>
  <si>
    <t xml:space="preserve">  = 24</t>
  </si>
  <si>
    <t>36 / 24 = 1.5</t>
  </si>
  <si>
    <t xml:space="preserve"> = +/- 20</t>
  </si>
  <si>
    <t xml:space="preserve"> = +/- 16</t>
  </si>
  <si>
    <t xml:space="preserve"> = +/- 18</t>
  </si>
  <si>
    <t xml:space="preserve"> = -32/8/4/-28</t>
  </si>
  <si>
    <t>n to 36 is 4 x (n squared)</t>
  </si>
  <si>
    <t>4)</t>
  </si>
  <si>
    <t xml:space="preserve"> = 18</t>
  </si>
  <si>
    <t xml:space="preserve"> = -16</t>
  </si>
  <si>
    <t xml:space="preserve"> = 48</t>
  </si>
  <si>
    <t xml:space="preserve">  = 32</t>
  </si>
  <si>
    <t>64 / 32 = 2</t>
  </si>
  <si>
    <t xml:space="preserve"> = +/- 34</t>
  </si>
  <si>
    <t xml:space="preserve"> = +/- 30</t>
  </si>
  <si>
    <t xml:space="preserve"> = +/- 32</t>
  </si>
  <si>
    <t xml:space="preserve"> = -50/18/14/-46</t>
  </si>
  <si>
    <t xml:space="preserve">n to 64 is (2n)-squared </t>
  </si>
  <si>
    <t>5)</t>
  </si>
  <si>
    <t xml:space="preserve"> = 20</t>
  </si>
  <si>
    <t xml:space="preserve"> = 22</t>
  </si>
  <si>
    <t xml:space="preserve">  = 40</t>
  </si>
  <si>
    <t>100 / 40 = 2.5</t>
  </si>
  <si>
    <t xml:space="preserve"> = +/- 52</t>
  </si>
  <si>
    <t xml:space="preserve"> = +/- 48</t>
  </si>
  <si>
    <t xml:space="preserve"> = +/- 50</t>
  </si>
  <si>
    <t xml:space="preserve"> = -72/32/28/-68</t>
  </si>
  <si>
    <t>n to 100 is 8n</t>
  </si>
  <si>
    <t>6)</t>
  </si>
  <si>
    <t xml:space="preserve"> = 24</t>
  </si>
  <si>
    <t xml:space="preserve"> = 26</t>
  </si>
  <si>
    <t xml:space="preserve"> = -48</t>
  </si>
  <si>
    <t xml:space="preserve"> = 96</t>
  </si>
  <si>
    <t xml:space="preserve">  = 48</t>
  </si>
  <si>
    <t>144 / 48 = 3</t>
  </si>
  <si>
    <t xml:space="preserve"> = +/- 74</t>
  </si>
  <si>
    <t xml:space="preserve"> = +/- 70</t>
  </si>
  <si>
    <t xml:space="preserve"> = +/- 72</t>
  </si>
  <si>
    <t xml:space="preserve"> = -98/50/46/-94</t>
  </si>
  <si>
    <t>n to 144 is 4 x (n-squared)</t>
  </si>
  <si>
    <t>7)</t>
  </si>
  <si>
    <t xml:space="preserve"> = 28</t>
  </si>
  <si>
    <t xml:space="preserve"> = -70</t>
  </si>
  <si>
    <t xml:space="preserve"> = 126</t>
  </si>
  <si>
    <t xml:space="preserve">  = 56</t>
  </si>
  <si>
    <t>196 / 56 = 3.5</t>
  </si>
  <si>
    <t xml:space="preserve"> = +/- 100</t>
  </si>
  <si>
    <t xml:space="preserve"> = +/- 96</t>
  </si>
  <si>
    <t xml:space="preserve"> = +/- 98</t>
  </si>
  <si>
    <t xml:space="preserve"> = -128/72/68/-124</t>
  </si>
  <si>
    <t>n to 196 is (2n)-squared</t>
  </si>
  <si>
    <t>8)</t>
  </si>
  <si>
    <t xml:space="preserve"> = 32</t>
  </si>
  <si>
    <t xml:space="preserve"> = 34</t>
  </si>
  <si>
    <t xml:space="preserve"> = -96</t>
  </si>
  <si>
    <t xml:space="preserve"> = 160</t>
  </si>
  <si>
    <t xml:space="preserve">  = 64</t>
  </si>
  <si>
    <t>256 / 64 = 4</t>
  </si>
  <si>
    <t xml:space="preserve"> = +/- 130</t>
  </si>
  <si>
    <t xml:space="preserve"> = +/- 126</t>
  </si>
  <si>
    <t xml:space="preserve"> = +/- 128</t>
  </si>
  <si>
    <t xml:space="preserve"> = -162/98/94/-158</t>
  </si>
  <si>
    <t>n to 256 is 4 x (n squared)</t>
  </si>
  <si>
    <t>9)</t>
  </si>
  <si>
    <t xml:space="preserve"> = 36</t>
  </si>
  <si>
    <t xml:space="preserve"> = 38</t>
  </si>
  <si>
    <t xml:space="preserve"> = -126</t>
  </si>
  <si>
    <t xml:space="preserve"> = 198</t>
  </si>
  <si>
    <t xml:space="preserve">  = 72</t>
  </si>
  <si>
    <t>324 / 72 = 4.5</t>
  </si>
  <si>
    <t xml:space="preserve"> = +/- 164</t>
  </si>
  <si>
    <t xml:space="preserve"> = +/- 160</t>
  </si>
  <si>
    <t xml:space="preserve"> = +/- 162</t>
  </si>
  <si>
    <t xml:space="preserve"> = -200/128/124/-196</t>
  </si>
  <si>
    <t xml:space="preserve">n to 324 is (2n)-squared </t>
  </si>
  <si>
    <t>10)</t>
  </si>
  <si>
    <t xml:space="preserve"> = 40</t>
  </si>
  <si>
    <t xml:space="preserve"> = 42</t>
  </si>
  <si>
    <t xml:space="preserve"> = -160</t>
  </si>
  <si>
    <t xml:space="preserve"> = 240</t>
  </si>
  <si>
    <t xml:space="preserve">  = 80</t>
  </si>
  <si>
    <t>400 / 80 = 5</t>
  </si>
  <si>
    <t xml:space="preserve"> = +/- 202</t>
  </si>
  <si>
    <t xml:space="preserve"> = +/- 198</t>
  </si>
  <si>
    <t xml:space="preserve"> = +/- 200</t>
  </si>
  <si>
    <t xml:space="preserve"> = -242/162/158/-238</t>
  </si>
  <si>
    <t xml:space="preserve">n to 400 is (2n)-squared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</si>
</sst>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8">
    <font>
      <sz val="10.0"/>
      <color rgb="FF000000"/>
      <name val="Arial"/>
      <scheme val="minor"/>
    </font>
    <font>
      <sz val="24.0"/>
      <color theme="1"/>
      <name val="Arial"/>
      <scheme val="minor"/>
    </font>
    <font>
      <sz val="24.0"/>
      <color rgb="FFFF0000"/>
      <name val="Arial"/>
      <scheme val="minor"/>
    </font>
    <font>
      <sz val="24.0"/>
      <color rgb="FF0000FF"/>
      <name val="Arial"/>
      <scheme val="minor"/>
    </font>
    <font>
      <sz val="24.0"/>
      <color rgb="FF9900FF"/>
      <name val="Arial"/>
      <scheme val="minor"/>
    </font>
    <font>
      <sz val="24.0"/>
      <color rgb="FFF0E338"/>
      <name val="Arial"/>
      <scheme val="minor"/>
    </font>
    <font>
      <sz val="24.0"/>
      <color rgb="FF6AA84F"/>
      <name val="Arial"/>
      <scheme val="minor"/>
    </font>
    <font>
      <sz val="21.0"/>
      <color rgb="FFFF00FF"/>
      <name val="Arial"/>
      <scheme val="minor"/>
    </font>
    <font>
      <sz val="20.0"/>
      <color rgb="FFFF0000"/>
      <name val="Arial"/>
      <scheme val="minor"/>
    </font>
    <font>
      <sz val="20.0"/>
      <color rgb="FF0000FF"/>
      <name val="Arial"/>
      <scheme val="minor"/>
    </font>
    <font>
      <sz val="22.0"/>
      <color rgb="FFFF0000"/>
      <name val="Arial"/>
      <scheme val="minor"/>
    </font>
    <font>
      <sz val="21.0"/>
      <color rgb="FF0000FF"/>
      <name val="Arial"/>
      <scheme val="minor"/>
    </font>
    <font>
      <sz val="21.0"/>
      <color rgb="FF9900FF"/>
      <name val="Arial"/>
      <scheme val="minor"/>
    </font>
    <font>
      <sz val="21.0"/>
      <color rgb="FFFF0000"/>
      <name val="Arial"/>
      <scheme val="minor"/>
    </font>
    <font>
      <color theme="1"/>
      <name val="Arial"/>
      <scheme val="minor"/>
    </font>
    <font>
      <sz val="22.0"/>
      <color rgb="FF0000FF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sz val="19.0"/>
      <color theme="1"/>
      <name val="Arial"/>
      <scheme val="minor"/>
    </font>
    <font>
      <sz val="14.0"/>
      <color rgb="FFFF0000"/>
      <name val="Arial"/>
      <scheme val="minor"/>
    </font>
    <font>
      <sz val="14.0"/>
      <color rgb="FF0000FF"/>
      <name val="Arial"/>
      <scheme val="minor"/>
    </font>
    <font>
      <sz val="18.0"/>
      <color rgb="FF9900FF"/>
      <name val="Arial"/>
      <scheme val="minor"/>
    </font>
    <font>
      <sz val="17.0"/>
      <color theme="1"/>
      <name val="Arial"/>
      <scheme val="minor"/>
    </font>
    <font>
      <sz val="15.0"/>
      <color theme="1"/>
      <name val="Arial"/>
      <scheme val="minor"/>
    </font>
    <font>
      <sz val="17.0"/>
      <color rgb="FF9900FF"/>
      <name val="Arial"/>
      <scheme val="minor"/>
    </font>
    <font>
      <sz val="16.0"/>
      <color theme="1"/>
      <name val="Arial"/>
      <scheme val="minor"/>
    </font>
    <font>
      <sz val="13.0"/>
      <color theme="1"/>
      <name val="Arial"/>
      <scheme val="minor"/>
    </font>
    <font>
      <sz val="11.0"/>
      <color rgb="FFFF0000"/>
      <name val="Arial"/>
      <scheme val="minor"/>
    </font>
    <font>
      <sz val="19.0"/>
      <color rgb="FFFF0000"/>
      <name val="Arial"/>
      <scheme val="minor"/>
    </font>
    <font>
      <sz val="12.0"/>
      <color rgb="FFFF0000"/>
      <name val="Arial"/>
      <scheme val="minor"/>
    </font>
    <font>
      <sz val="18.0"/>
      <color rgb="FFFF0000"/>
      <name val="Arial"/>
      <scheme val="minor"/>
    </font>
    <font>
      <sz val="16.0"/>
      <color rgb="FF0000FF"/>
      <name val="Arial"/>
      <scheme val="minor"/>
    </font>
    <font>
      <sz val="11.0"/>
      <color rgb="FF0000FF"/>
      <name val="Arial"/>
      <scheme val="minor"/>
    </font>
    <font>
      <sz val="10.0"/>
      <color rgb="FFFF0000"/>
      <name val="Arial"/>
      <scheme val="minor"/>
    </font>
    <font>
      <sz val="10.0"/>
      <color rgb="FF0000FF"/>
      <name val="Arial"/>
      <scheme val="minor"/>
    </font>
    <font>
      <sz val="15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6" fillId="0" fontId="1" numFmtId="0" xfId="0" applyBorder="1" applyFont="1"/>
    <xf borderId="8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7" numFmtId="0" xfId="0" applyBorder="1" applyFont="1"/>
    <xf borderId="0" fillId="0" fontId="7" numFmtId="0" xfId="0" applyFont="1"/>
    <xf borderId="2" fillId="0" fontId="7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1" numFmtId="0" xfId="0" applyBorder="1" applyFont="1"/>
    <xf borderId="4" fillId="0" fontId="8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10" fillId="0" fontId="12" numFmtId="0" xfId="0" applyAlignment="1" applyBorder="1" applyFont="1">
      <alignment readingOrder="0"/>
    </xf>
    <xf borderId="6" fillId="0" fontId="1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4" fillId="0" fontId="14" numFmtId="0" xfId="0" applyBorder="1" applyFont="1"/>
    <xf borderId="4" fillId="0" fontId="15" numFmtId="0" xfId="0" applyAlignment="1" applyBorder="1" applyFont="1">
      <alignment readingOrder="0"/>
    </xf>
    <xf borderId="3" fillId="0" fontId="12" numFmtId="0" xfId="0" applyAlignment="1" applyBorder="1" applyFont="1">
      <alignment readingOrder="0"/>
    </xf>
    <xf borderId="5" fillId="0" fontId="12" numFmtId="0" xfId="0" applyBorder="1" applyFont="1"/>
    <xf borderId="9" fillId="0" fontId="7" numFmtId="0" xfId="0" applyBorder="1" applyFont="1"/>
    <xf borderId="11" fillId="0" fontId="1" numFmtId="0" xfId="0" applyBorder="1" applyFont="1"/>
    <xf borderId="9" fillId="0" fontId="13" numFmtId="0" xfId="0" applyAlignment="1" applyBorder="1" applyFont="1">
      <alignment readingOrder="0"/>
    </xf>
    <xf borderId="9" fillId="0" fontId="11" numFmtId="0" xfId="0" applyAlignment="1" applyBorder="1" applyFont="1">
      <alignment readingOrder="0"/>
    </xf>
    <xf borderId="9" fillId="0" fontId="1" numFmtId="0" xfId="0" applyBorder="1" applyFont="1"/>
    <xf borderId="9" fillId="0" fontId="10" numFmtId="0" xfId="0" applyBorder="1" applyFont="1"/>
    <xf borderId="9" fillId="0" fontId="15" numFmtId="0" xfId="0" applyBorder="1" applyFont="1"/>
    <xf borderId="9" fillId="0" fontId="13" numFmtId="0" xfId="0" applyBorder="1" applyFont="1"/>
    <xf borderId="1" fillId="0" fontId="11" numFmtId="0" xfId="0" applyBorder="1" applyFont="1"/>
    <xf borderId="2" fillId="0" fontId="12" numFmtId="0" xfId="0" applyBorder="1" applyFont="1"/>
    <xf borderId="1" fillId="0" fontId="12" numFmtId="0" xfId="0" applyBorder="1" applyFont="1"/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6" fillId="0" fontId="16" numFmtId="0" xfId="0" applyAlignment="1" applyBorder="1" applyFont="1">
      <alignment readingOrder="0"/>
    </xf>
    <xf borderId="6" fillId="0" fontId="17" numFmtId="49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0" fontId="18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6" fillId="0" fontId="17" numFmtId="0" xfId="0" applyAlignment="1" applyBorder="1" applyFont="1">
      <alignment readingOrder="0"/>
    </xf>
    <xf borderId="6" fillId="0" fontId="19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2" fillId="0" fontId="21" numFmtId="0" xfId="0" applyAlignment="1" applyBorder="1" applyFont="1">
      <alignment readingOrder="0"/>
    </xf>
    <xf borderId="13" fillId="0" fontId="22" numFmtId="0" xfId="0" applyAlignment="1" applyBorder="1" applyFont="1">
      <alignment readingOrder="0"/>
    </xf>
    <xf borderId="13" fillId="0" fontId="14" numFmtId="0" xfId="0" applyBorder="1" applyFont="1"/>
    <xf borderId="13" fillId="0" fontId="21" numFmtId="0" xfId="0" applyAlignment="1" applyBorder="1" applyFont="1">
      <alignment readingOrder="0"/>
    </xf>
    <xf borderId="14" fillId="0" fontId="22" numFmtId="0" xfId="0" applyAlignment="1" applyBorder="1" applyFont="1">
      <alignment readingOrder="0"/>
    </xf>
    <xf borderId="6" fillId="0" fontId="23" numFmtId="0" xfId="0" applyAlignment="1" applyBorder="1" applyFont="1">
      <alignment readingOrder="0"/>
    </xf>
    <xf borderId="6" fillId="0" fontId="1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  <xf borderId="6" fillId="0" fontId="24" numFmtId="164" xfId="0" applyAlignment="1" applyBorder="1" applyFont="1" applyNumberFormat="1">
      <alignment readingOrder="0"/>
    </xf>
    <xf borderId="6" fillId="0" fontId="18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6" fillId="0" fontId="25" numFmtId="0" xfId="0" applyAlignment="1" applyBorder="1" applyFont="1">
      <alignment readingOrder="0"/>
    </xf>
    <xf borderId="13" fillId="0" fontId="1" numFmtId="0" xfId="0" applyBorder="1" applyFont="1"/>
    <xf borderId="6" fillId="0" fontId="26" numFmtId="0" xfId="0" applyAlignment="1" applyBorder="1" applyFont="1">
      <alignment readingOrder="0"/>
    </xf>
    <xf borderId="6" fillId="0" fontId="20" numFmtId="0" xfId="0" applyAlignment="1" applyBorder="1" applyFont="1">
      <alignment readingOrder="0"/>
    </xf>
    <xf borderId="6" fillId="0" fontId="27" numFmtId="0" xfId="0" applyAlignment="1" applyBorder="1" applyFont="1">
      <alignment readingOrder="0"/>
    </xf>
    <xf borderId="6" fillId="0" fontId="28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12" fillId="0" fontId="29" numFmtId="0" xfId="0" applyAlignment="1" applyBorder="1" applyFont="1">
      <alignment readingOrder="0"/>
    </xf>
    <xf borderId="3" fillId="0" fontId="30" numFmtId="0" xfId="0" applyAlignment="1" applyBorder="1" applyFont="1">
      <alignment readingOrder="0"/>
    </xf>
    <xf borderId="12" fillId="0" fontId="31" numFmtId="0" xfId="0" applyAlignment="1" applyBorder="1" applyFont="1">
      <alignment readingOrder="0"/>
    </xf>
    <xf borderId="13" fillId="0" fontId="31" numFmtId="0" xfId="0" applyAlignment="1" applyBorder="1" applyFont="1">
      <alignment readingOrder="0"/>
    </xf>
    <xf borderId="4" fillId="0" fontId="30" numFmtId="0" xfId="0" applyAlignment="1" applyBorder="1" applyFont="1">
      <alignment readingOrder="0"/>
    </xf>
    <xf borderId="4" fillId="0" fontId="32" numFmtId="0" xfId="0" applyAlignment="1" applyBorder="1" applyFont="1">
      <alignment readingOrder="0"/>
    </xf>
    <xf borderId="5" fillId="0" fontId="33" numFmtId="0" xfId="0" applyAlignment="1" applyBorder="1" applyFont="1">
      <alignment readingOrder="0"/>
    </xf>
    <xf borderId="13" fillId="0" fontId="34" numFmtId="0" xfId="0" applyAlignment="1" applyBorder="1" applyFont="1">
      <alignment readingOrder="0"/>
    </xf>
    <xf borderId="13" fillId="0" fontId="35" numFmtId="0" xfId="0" applyAlignment="1" applyBorder="1" applyFont="1">
      <alignment readingOrder="0"/>
    </xf>
    <xf borderId="13" fillId="0" fontId="36" numFmtId="0" xfId="0" applyAlignment="1" applyBorder="1" applyFont="1">
      <alignment readingOrder="0"/>
    </xf>
    <xf borderId="4" fillId="0" fontId="3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9" width="8.75"/>
    <col customWidth="1" min="40" max="40" width="8.88"/>
    <col customWidth="1" min="41" max="48" width="8.75"/>
    <col customWidth="1" min="49" max="49" width="67.38"/>
    <col customWidth="1" min="50" max="79" width="8.75"/>
  </cols>
  <sheetData>
    <row r="1" ht="49.5" customHeight="1">
      <c r="A1" s="1" t="s">
        <v>0</v>
      </c>
      <c r="B1" s="2"/>
      <c r="C1" s="2"/>
      <c r="D1" s="2"/>
      <c r="E1" s="1"/>
      <c r="I1" s="1" t="s">
        <v>1</v>
      </c>
      <c r="J1" s="2"/>
      <c r="K1" s="2"/>
      <c r="L1" s="2"/>
      <c r="M1" s="2"/>
      <c r="N1" s="2"/>
      <c r="O1" s="2"/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2"/>
      <c r="AA1" s="2"/>
      <c r="AB1" s="2"/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V1" s="2"/>
      <c r="AW1" s="2"/>
    </row>
    <row r="2" ht="49.5" customHeight="1">
      <c r="A2" s="2"/>
      <c r="B2" s="2"/>
      <c r="C2" s="2"/>
      <c r="D2" s="2"/>
      <c r="E2" s="2"/>
      <c r="I2" s="2"/>
      <c r="J2" s="2"/>
      <c r="K2" s="2"/>
      <c r="L2" s="2"/>
      <c r="M2" s="2"/>
      <c r="N2" s="2"/>
      <c r="O2" s="2"/>
      <c r="P2" s="2"/>
      <c r="Q2" s="2"/>
      <c r="T2" s="1">
        <v>0.0</v>
      </c>
      <c r="U2" s="2">
        <f t="shared" ref="U2:U27" si="1"> (-1)*((T2-1)*(T2-1))</f>
        <v>-1</v>
      </c>
      <c r="V2" s="2">
        <f t="shared" ref="V2:V27" si="2">(T2+1)*(T2+1)</f>
        <v>1</v>
      </c>
      <c r="W2" s="2">
        <f t="shared" ref="W2:W27" si="3">T2*(T2+1)+(T2-1)</f>
        <v>-1</v>
      </c>
      <c r="X2" s="2">
        <f t="shared" ref="X2:X27" si="4">(T2-1)*(-1*(T2-1))+2</f>
        <v>1</v>
      </c>
      <c r="Y2" s="2">
        <f t="shared" ref="Y2:Y27" si="5">8*T2</f>
        <v>0</v>
      </c>
      <c r="Z2" s="2"/>
      <c r="AA2" s="2"/>
      <c r="AB2" s="2"/>
      <c r="AC2" s="1">
        <v>0.0</v>
      </c>
      <c r="AD2" s="2" t="str">
        <f t="shared" ref="AD2:AD27" si="6">(AC2+AC2)-(AC2*AC2)-(AC2/AC2)</f>
        <v>#DIV/0!</v>
      </c>
      <c r="AE2" s="2" t="str">
        <f t="shared" ref="AE2:AE27" si="7">(AC2+AC2)+(AC2*AC2)+(AC2/AC2)</f>
        <v>#DIV/0!</v>
      </c>
      <c r="AF2" s="2" t="str">
        <f t="shared" ref="AF2:AF27" si="8">(AC2+AC2)+(AC2*AC2)-(AC2/AC2)</f>
        <v>#DIV/0!</v>
      </c>
      <c r="AG2" s="2" t="str">
        <f t="shared" ref="AG2:AG27" si="9">(AC2+AC2)-(AC2*AC2)+(AC2/AC2)</f>
        <v>#DIV/0!</v>
      </c>
      <c r="AH2" s="2" t="str">
        <f t="shared" ref="AH2:AH27" si="10">AD2+AE2+AF2+AG2</f>
        <v>#DIV/0!</v>
      </c>
      <c r="AV2" s="2"/>
      <c r="AW2" s="2"/>
    </row>
    <row r="3" ht="49.5" customHeight="1">
      <c r="A3" s="1" t="s">
        <v>14</v>
      </c>
      <c r="B3" s="1" t="s">
        <v>15</v>
      </c>
      <c r="C3" s="2"/>
      <c r="D3" s="2"/>
      <c r="E3" s="2"/>
      <c r="I3" s="1" t="s">
        <v>16</v>
      </c>
      <c r="J3" s="1" t="s">
        <v>17</v>
      </c>
      <c r="K3" s="2"/>
      <c r="L3" s="2"/>
      <c r="M3" s="2"/>
      <c r="N3" s="2"/>
      <c r="O3" s="2"/>
      <c r="P3" s="2"/>
      <c r="Q3" s="2"/>
      <c r="T3" s="1">
        <v>1.0</v>
      </c>
      <c r="U3" s="2">
        <f t="shared" si="1"/>
        <v>0</v>
      </c>
      <c r="V3" s="2">
        <f t="shared" si="2"/>
        <v>4</v>
      </c>
      <c r="W3" s="2">
        <f t="shared" si="3"/>
        <v>2</v>
      </c>
      <c r="X3" s="2">
        <f t="shared" si="4"/>
        <v>2</v>
      </c>
      <c r="Y3" s="2">
        <f t="shared" si="5"/>
        <v>8</v>
      </c>
      <c r="Z3" s="2"/>
      <c r="AA3" s="2"/>
      <c r="AB3" s="2"/>
      <c r="AC3" s="1">
        <v>1.0</v>
      </c>
      <c r="AD3" s="2">
        <f t="shared" si="6"/>
        <v>0</v>
      </c>
      <c r="AE3" s="2">
        <f t="shared" si="7"/>
        <v>4</v>
      </c>
      <c r="AF3" s="2">
        <f t="shared" si="8"/>
        <v>2</v>
      </c>
      <c r="AG3" s="2">
        <f t="shared" si="9"/>
        <v>2</v>
      </c>
      <c r="AH3" s="2">
        <f t="shared" si="10"/>
        <v>8</v>
      </c>
      <c r="AV3" s="2"/>
      <c r="AW3" s="2"/>
    </row>
    <row r="4" ht="49.5" customHeight="1">
      <c r="A4" s="1" t="s">
        <v>18</v>
      </c>
      <c r="B4" s="1" t="s">
        <v>19</v>
      </c>
      <c r="C4" s="2"/>
      <c r="D4" s="2"/>
      <c r="E4" s="2"/>
      <c r="I4" s="1" t="s">
        <v>20</v>
      </c>
      <c r="J4" s="1" t="s">
        <v>21</v>
      </c>
      <c r="K4" s="2"/>
      <c r="L4" s="2"/>
      <c r="M4" s="2"/>
      <c r="N4" s="2"/>
      <c r="O4" s="2"/>
      <c r="P4" s="2"/>
      <c r="Q4" s="2"/>
      <c r="T4" s="1">
        <v>2.0</v>
      </c>
      <c r="U4" s="2">
        <f t="shared" si="1"/>
        <v>-1</v>
      </c>
      <c r="V4" s="2">
        <f t="shared" si="2"/>
        <v>9</v>
      </c>
      <c r="W4" s="2">
        <f t="shared" si="3"/>
        <v>7</v>
      </c>
      <c r="X4" s="2">
        <f t="shared" si="4"/>
        <v>1</v>
      </c>
      <c r="Y4" s="2">
        <f t="shared" si="5"/>
        <v>16</v>
      </c>
      <c r="Z4" s="2"/>
      <c r="AA4" s="2"/>
      <c r="AB4" s="2"/>
      <c r="AC4" s="1">
        <v>2.0</v>
      </c>
      <c r="AD4" s="2">
        <f t="shared" si="6"/>
        <v>-1</v>
      </c>
      <c r="AE4" s="2">
        <f t="shared" si="7"/>
        <v>9</v>
      </c>
      <c r="AF4" s="2">
        <f t="shared" si="8"/>
        <v>7</v>
      </c>
      <c r="AG4" s="2">
        <f t="shared" si="9"/>
        <v>1</v>
      </c>
      <c r="AH4" s="2">
        <f t="shared" si="10"/>
        <v>16</v>
      </c>
      <c r="AV4" s="2"/>
      <c r="AW4" s="2"/>
    </row>
    <row r="5" ht="49.5" customHeight="1">
      <c r="A5" s="1" t="s">
        <v>22</v>
      </c>
      <c r="B5" s="1" t="s">
        <v>23</v>
      </c>
      <c r="C5" s="2"/>
      <c r="D5" s="2"/>
      <c r="E5" s="2"/>
      <c r="I5" s="1" t="s">
        <v>24</v>
      </c>
      <c r="J5" s="1" t="s">
        <v>25</v>
      </c>
      <c r="K5" s="2"/>
      <c r="L5" s="2"/>
      <c r="M5" s="2"/>
      <c r="N5" s="2"/>
      <c r="O5" s="2"/>
      <c r="P5" s="2"/>
      <c r="Q5" s="2"/>
      <c r="T5" s="1">
        <v>3.0</v>
      </c>
      <c r="U5" s="2">
        <f t="shared" si="1"/>
        <v>-4</v>
      </c>
      <c r="V5" s="2">
        <f t="shared" si="2"/>
        <v>16</v>
      </c>
      <c r="W5" s="2">
        <f t="shared" si="3"/>
        <v>14</v>
      </c>
      <c r="X5" s="2">
        <f t="shared" si="4"/>
        <v>-2</v>
      </c>
      <c r="Y5" s="2">
        <f t="shared" si="5"/>
        <v>24</v>
      </c>
      <c r="Z5" s="2"/>
      <c r="AA5" s="2"/>
      <c r="AB5" s="2"/>
      <c r="AC5" s="1">
        <v>3.0</v>
      </c>
      <c r="AD5" s="2">
        <f t="shared" si="6"/>
        <v>-4</v>
      </c>
      <c r="AE5" s="2">
        <f t="shared" si="7"/>
        <v>16</v>
      </c>
      <c r="AF5" s="2">
        <f t="shared" si="8"/>
        <v>14</v>
      </c>
      <c r="AG5" s="2">
        <f t="shared" si="9"/>
        <v>-2</v>
      </c>
      <c r="AH5" s="2">
        <f t="shared" si="10"/>
        <v>24</v>
      </c>
      <c r="AV5" s="2"/>
      <c r="AW5" s="2"/>
    </row>
    <row r="6" ht="49.5" customHeight="1">
      <c r="A6" s="1" t="s">
        <v>26</v>
      </c>
      <c r="B6" s="1" t="s">
        <v>27</v>
      </c>
      <c r="C6" s="2"/>
      <c r="D6" s="2"/>
      <c r="E6" s="2"/>
      <c r="I6" s="1" t="s">
        <v>28</v>
      </c>
      <c r="J6" s="1" t="s">
        <v>29</v>
      </c>
      <c r="K6" s="2"/>
      <c r="L6" s="2"/>
      <c r="M6" s="2"/>
      <c r="N6" s="2"/>
      <c r="O6" s="2"/>
      <c r="P6" s="2"/>
      <c r="Q6" s="2"/>
      <c r="T6" s="1">
        <v>4.0</v>
      </c>
      <c r="U6" s="2">
        <f t="shared" si="1"/>
        <v>-9</v>
      </c>
      <c r="V6" s="2">
        <f t="shared" si="2"/>
        <v>25</v>
      </c>
      <c r="W6" s="2">
        <f t="shared" si="3"/>
        <v>23</v>
      </c>
      <c r="X6" s="2">
        <f t="shared" si="4"/>
        <v>-7</v>
      </c>
      <c r="Y6" s="2">
        <f t="shared" si="5"/>
        <v>32</v>
      </c>
      <c r="Z6" s="2"/>
      <c r="AA6" s="2"/>
      <c r="AB6" s="2"/>
      <c r="AC6" s="1">
        <v>4.0</v>
      </c>
      <c r="AD6" s="2">
        <f t="shared" si="6"/>
        <v>-9</v>
      </c>
      <c r="AE6" s="2">
        <f t="shared" si="7"/>
        <v>25</v>
      </c>
      <c r="AF6" s="2">
        <f t="shared" si="8"/>
        <v>23</v>
      </c>
      <c r="AG6" s="2">
        <f t="shared" si="9"/>
        <v>-7</v>
      </c>
      <c r="AH6" s="2">
        <f t="shared" si="10"/>
        <v>32</v>
      </c>
      <c r="AV6" s="2"/>
      <c r="AW6" s="2"/>
    </row>
    <row r="7" ht="49.5" customHeight="1">
      <c r="A7" s="1" t="s">
        <v>30</v>
      </c>
      <c r="B7" s="1" t="s">
        <v>31</v>
      </c>
      <c r="C7" s="2"/>
      <c r="D7" s="2"/>
      <c r="E7" s="2"/>
      <c r="I7" s="1" t="s">
        <v>32</v>
      </c>
      <c r="J7" s="1" t="s">
        <v>33</v>
      </c>
      <c r="K7" s="2"/>
      <c r="L7" s="2"/>
      <c r="M7" s="2"/>
      <c r="N7" s="2"/>
      <c r="O7" s="2"/>
      <c r="P7" s="2"/>
      <c r="Q7" s="2"/>
      <c r="T7" s="1">
        <v>5.0</v>
      </c>
      <c r="U7" s="2">
        <f t="shared" si="1"/>
        <v>-16</v>
      </c>
      <c r="V7" s="2">
        <f t="shared" si="2"/>
        <v>36</v>
      </c>
      <c r="W7" s="2">
        <f t="shared" si="3"/>
        <v>34</v>
      </c>
      <c r="X7" s="2">
        <f t="shared" si="4"/>
        <v>-14</v>
      </c>
      <c r="Y7" s="2">
        <f t="shared" si="5"/>
        <v>40</v>
      </c>
      <c r="Z7" s="2"/>
      <c r="AA7" s="2"/>
      <c r="AB7" s="2"/>
      <c r="AC7" s="1">
        <v>5.0</v>
      </c>
      <c r="AD7" s="2">
        <f t="shared" si="6"/>
        <v>-16</v>
      </c>
      <c r="AE7" s="2">
        <f t="shared" si="7"/>
        <v>36</v>
      </c>
      <c r="AF7" s="2">
        <f t="shared" si="8"/>
        <v>34</v>
      </c>
      <c r="AG7" s="2">
        <f t="shared" si="9"/>
        <v>-14</v>
      </c>
      <c r="AH7" s="2">
        <f t="shared" si="10"/>
        <v>40</v>
      </c>
      <c r="AV7" s="2"/>
      <c r="AW7" s="2"/>
    </row>
    <row r="8" ht="49.5" customHeight="1">
      <c r="A8" s="1" t="s">
        <v>34</v>
      </c>
      <c r="B8" s="1" t="s">
        <v>35</v>
      </c>
      <c r="C8" s="2"/>
      <c r="D8" s="2"/>
      <c r="E8" s="2"/>
      <c r="I8" s="1" t="s">
        <v>36</v>
      </c>
      <c r="J8" s="1" t="s">
        <v>37</v>
      </c>
      <c r="K8" s="1"/>
      <c r="L8" s="2"/>
      <c r="M8" s="2"/>
      <c r="N8" s="2"/>
      <c r="O8" s="2"/>
      <c r="P8" s="2"/>
      <c r="Q8" s="2"/>
      <c r="T8" s="1">
        <v>6.0</v>
      </c>
      <c r="U8" s="2">
        <f t="shared" si="1"/>
        <v>-25</v>
      </c>
      <c r="V8" s="2">
        <f t="shared" si="2"/>
        <v>49</v>
      </c>
      <c r="W8" s="2">
        <f t="shared" si="3"/>
        <v>47</v>
      </c>
      <c r="X8" s="2">
        <f t="shared" si="4"/>
        <v>-23</v>
      </c>
      <c r="Y8" s="2">
        <f t="shared" si="5"/>
        <v>48</v>
      </c>
      <c r="Z8" s="2"/>
      <c r="AA8" s="2"/>
      <c r="AB8" s="2"/>
      <c r="AC8" s="1">
        <v>6.0</v>
      </c>
      <c r="AD8" s="2">
        <f t="shared" si="6"/>
        <v>-25</v>
      </c>
      <c r="AE8" s="2">
        <f t="shared" si="7"/>
        <v>49</v>
      </c>
      <c r="AF8" s="2">
        <f t="shared" si="8"/>
        <v>47</v>
      </c>
      <c r="AG8" s="2">
        <f t="shared" si="9"/>
        <v>-23</v>
      </c>
      <c r="AH8" s="2">
        <f t="shared" si="10"/>
        <v>48</v>
      </c>
      <c r="AV8" s="2"/>
      <c r="AW8" s="2"/>
    </row>
    <row r="9" ht="4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>
        <v>7.0</v>
      </c>
      <c r="U9" s="2">
        <f t="shared" si="1"/>
        <v>-36</v>
      </c>
      <c r="V9" s="2">
        <f t="shared" si="2"/>
        <v>64</v>
      </c>
      <c r="W9" s="2">
        <f t="shared" si="3"/>
        <v>62</v>
      </c>
      <c r="X9" s="2">
        <f t="shared" si="4"/>
        <v>-34</v>
      </c>
      <c r="Y9" s="2">
        <f t="shared" si="5"/>
        <v>56</v>
      </c>
      <c r="Z9" s="2"/>
      <c r="AA9" s="2"/>
      <c r="AB9" s="2"/>
      <c r="AC9" s="1">
        <v>7.0</v>
      </c>
      <c r="AD9" s="2">
        <f t="shared" si="6"/>
        <v>-36</v>
      </c>
      <c r="AE9" s="2">
        <f t="shared" si="7"/>
        <v>64</v>
      </c>
      <c r="AF9" s="2">
        <f t="shared" si="8"/>
        <v>62</v>
      </c>
      <c r="AG9" s="2">
        <f t="shared" si="9"/>
        <v>-34</v>
      </c>
      <c r="AH9" s="2">
        <f t="shared" si="10"/>
        <v>56</v>
      </c>
      <c r="AV9" s="2"/>
      <c r="AW9" s="2"/>
    </row>
    <row r="10" ht="49.5" customHeight="1">
      <c r="A10" s="2"/>
      <c r="T10" s="1">
        <v>8.0</v>
      </c>
      <c r="U10" s="2">
        <f t="shared" si="1"/>
        <v>-49</v>
      </c>
      <c r="V10" s="2">
        <f t="shared" si="2"/>
        <v>81</v>
      </c>
      <c r="W10" s="2">
        <f t="shared" si="3"/>
        <v>79</v>
      </c>
      <c r="X10" s="2">
        <f t="shared" si="4"/>
        <v>-47</v>
      </c>
      <c r="Y10" s="2">
        <f t="shared" si="5"/>
        <v>64</v>
      </c>
      <c r="Z10" s="2"/>
      <c r="AA10" s="2"/>
      <c r="AB10" s="2"/>
      <c r="AC10" s="1">
        <v>8.0</v>
      </c>
      <c r="AD10" s="2">
        <f t="shared" si="6"/>
        <v>-49</v>
      </c>
      <c r="AE10" s="2">
        <f t="shared" si="7"/>
        <v>81</v>
      </c>
      <c r="AF10" s="2">
        <f t="shared" si="8"/>
        <v>79</v>
      </c>
      <c r="AG10" s="2">
        <f t="shared" si="9"/>
        <v>-47</v>
      </c>
      <c r="AH10" s="2">
        <f t="shared" si="10"/>
        <v>64</v>
      </c>
      <c r="AV10" s="2"/>
      <c r="AW10" s="2"/>
    </row>
    <row r="11" ht="49.5" customHeight="1">
      <c r="A11" s="2"/>
      <c r="B11" s="2"/>
      <c r="C11" s="2"/>
      <c r="D11" s="2"/>
      <c r="T11" s="1">
        <v>9.0</v>
      </c>
      <c r="U11" s="2">
        <f t="shared" si="1"/>
        <v>-64</v>
      </c>
      <c r="V11" s="2">
        <f t="shared" si="2"/>
        <v>100</v>
      </c>
      <c r="W11" s="2">
        <f t="shared" si="3"/>
        <v>98</v>
      </c>
      <c r="X11" s="2">
        <f t="shared" si="4"/>
        <v>-62</v>
      </c>
      <c r="Y11" s="2">
        <f t="shared" si="5"/>
        <v>72</v>
      </c>
      <c r="Z11" s="2"/>
      <c r="AA11" s="2"/>
      <c r="AB11" s="2"/>
      <c r="AC11" s="1">
        <v>9.0</v>
      </c>
      <c r="AD11" s="2">
        <f t="shared" si="6"/>
        <v>-64</v>
      </c>
      <c r="AE11" s="2">
        <f t="shared" si="7"/>
        <v>100</v>
      </c>
      <c r="AF11" s="2">
        <f t="shared" si="8"/>
        <v>98</v>
      </c>
      <c r="AG11" s="2">
        <f t="shared" si="9"/>
        <v>-62</v>
      </c>
      <c r="AH11" s="2">
        <f t="shared" si="10"/>
        <v>72</v>
      </c>
      <c r="AV11" s="2"/>
      <c r="AW11" s="2"/>
    </row>
    <row r="12" ht="49.5" customHeight="1">
      <c r="A12" s="2"/>
      <c r="B12" s="2"/>
      <c r="C12" s="2"/>
      <c r="D12" s="2"/>
      <c r="T12" s="1">
        <v>10.0</v>
      </c>
      <c r="U12" s="2">
        <f t="shared" si="1"/>
        <v>-81</v>
      </c>
      <c r="V12" s="2">
        <f t="shared" si="2"/>
        <v>121</v>
      </c>
      <c r="W12" s="2">
        <f t="shared" si="3"/>
        <v>119</v>
      </c>
      <c r="X12" s="2">
        <f t="shared" si="4"/>
        <v>-79</v>
      </c>
      <c r="Y12" s="2">
        <f t="shared" si="5"/>
        <v>80</v>
      </c>
      <c r="Z12" s="2"/>
      <c r="AA12" s="2"/>
      <c r="AB12" s="2"/>
      <c r="AC12" s="1">
        <v>10.0</v>
      </c>
      <c r="AD12" s="2">
        <f t="shared" si="6"/>
        <v>-81</v>
      </c>
      <c r="AE12" s="2">
        <f t="shared" si="7"/>
        <v>121</v>
      </c>
      <c r="AF12" s="2">
        <f t="shared" si="8"/>
        <v>119</v>
      </c>
      <c r="AG12" s="2">
        <f t="shared" si="9"/>
        <v>-79</v>
      </c>
      <c r="AH12" s="2">
        <f t="shared" si="10"/>
        <v>80</v>
      </c>
      <c r="AV12" s="2"/>
      <c r="AW12" s="2"/>
    </row>
    <row r="13" ht="49.5" customHeight="1">
      <c r="A13" s="2"/>
      <c r="B13" s="2"/>
      <c r="C13" s="2"/>
      <c r="D13" s="2"/>
      <c r="T13" s="1">
        <v>11.0</v>
      </c>
      <c r="U13" s="2">
        <f t="shared" si="1"/>
        <v>-100</v>
      </c>
      <c r="V13" s="2">
        <f t="shared" si="2"/>
        <v>144</v>
      </c>
      <c r="W13" s="2">
        <f t="shared" si="3"/>
        <v>142</v>
      </c>
      <c r="X13" s="2">
        <f t="shared" si="4"/>
        <v>-98</v>
      </c>
      <c r="Y13" s="2">
        <f t="shared" si="5"/>
        <v>88</v>
      </c>
      <c r="Z13" s="2"/>
      <c r="AA13" s="2"/>
      <c r="AB13" s="2"/>
      <c r="AC13" s="1">
        <v>11.0</v>
      </c>
      <c r="AD13" s="2">
        <f t="shared" si="6"/>
        <v>-100</v>
      </c>
      <c r="AE13" s="2">
        <f t="shared" si="7"/>
        <v>144</v>
      </c>
      <c r="AF13" s="2">
        <f t="shared" si="8"/>
        <v>142</v>
      </c>
      <c r="AG13" s="2">
        <f t="shared" si="9"/>
        <v>-98</v>
      </c>
      <c r="AH13" s="2">
        <f t="shared" si="10"/>
        <v>88</v>
      </c>
      <c r="AV13" s="2"/>
      <c r="AW13" s="2"/>
    </row>
    <row r="14" ht="49.5" customHeight="1">
      <c r="A14" s="2"/>
      <c r="B14" s="2"/>
      <c r="C14" s="2"/>
      <c r="D14" s="2"/>
      <c r="T14" s="1">
        <v>12.0</v>
      </c>
      <c r="U14" s="2">
        <f t="shared" si="1"/>
        <v>-121</v>
      </c>
      <c r="V14" s="2">
        <f t="shared" si="2"/>
        <v>169</v>
      </c>
      <c r="W14" s="2">
        <f t="shared" si="3"/>
        <v>167</v>
      </c>
      <c r="X14" s="2">
        <f t="shared" si="4"/>
        <v>-119</v>
      </c>
      <c r="Y14" s="2">
        <f t="shared" si="5"/>
        <v>96</v>
      </c>
      <c r="Z14" s="2"/>
      <c r="AA14" s="2"/>
      <c r="AB14" s="2"/>
      <c r="AC14" s="1">
        <v>12.0</v>
      </c>
      <c r="AD14" s="2">
        <f t="shared" si="6"/>
        <v>-121</v>
      </c>
      <c r="AE14" s="2">
        <f t="shared" si="7"/>
        <v>169</v>
      </c>
      <c r="AF14" s="2">
        <f t="shared" si="8"/>
        <v>167</v>
      </c>
      <c r="AG14" s="2">
        <f t="shared" si="9"/>
        <v>-119</v>
      </c>
      <c r="AH14" s="2">
        <f t="shared" si="10"/>
        <v>96</v>
      </c>
      <c r="AV14" s="2"/>
      <c r="AW14" s="2"/>
    </row>
    <row r="15" ht="49.5" customHeight="1">
      <c r="A15" s="2"/>
      <c r="B15" s="2"/>
      <c r="C15" s="2"/>
      <c r="D15" s="2"/>
      <c r="T15" s="1">
        <v>13.0</v>
      </c>
      <c r="U15" s="2">
        <f t="shared" si="1"/>
        <v>-144</v>
      </c>
      <c r="V15" s="2">
        <f t="shared" si="2"/>
        <v>196</v>
      </c>
      <c r="W15" s="2">
        <f t="shared" si="3"/>
        <v>194</v>
      </c>
      <c r="X15" s="2">
        <f t="shared" si="4"/>
        <v>-142</v>
      </c>
      <c r="Y15" s="2">
        <f t="shared" si="5"/>
        <v>104</v>
      </c>
      <c r="Z15" s="2"/>
      <c r="AA15" s="2"/>
      <c r="AB15" s="2"/>
      <c r="AC15" s="1">
        <v>13.0</v>
      </c>
      <c r="AD15" s="2">
        <f t="shared" si="6"/>
        <v>-144</v>
      </c>
      <c r="AE15" s="2">
        <f t="shared" si="7"/>
        <v>196</v>
      </c>
      <c r="AF15" s="2">
        <f t="shared" si="8"/>
        <v>194</v>
      </c>
      <c r="AG15" s="2">
        <f t="shared" si="9"/>
        <v>-142</v>
      </c>
      <c r="AH15" s="2">
        <f t="shared" si="10"/>
        <v>104</v>
      </c>
      <c r="AV15" s="2"/>
      <c r="AW15" s="2"/>
    </row>
    <row r="16" ht="49.5" customHeight="1">
      <c r="A16" s="2"/>
      <c r="B16" s="2"/>
      <c r="C16" s="2"/>
      <c r="D16" s="2"/>
      <c r="T16" s="1">
        <v>14.0</v>
      </c>
      <c r="U16" s="2">
        <f t="shared" si="1"/>
        <v>-169</v>
      </c>
      <c r="V16" s="2">
        <f t="shared" si="2"/>
        <v>225</v>
      </c>
      <c r="W16" s="2">
        <f t="shared" si="3"/>
        <v>223</v>
      </c>
      <c r="X16" s="2">
        <f t="shared" si="4"/>
        <v>-167</v>
      </c>
      <c r="Y16" s="2">
        <f t="shared" si="5"/>
        <v>112</v>
      </c>
      <c r="Z16" s="2"/>
      <c r="AA16" s="2"/>
      <c r="AB16" s="2"/>
      <c r="AC16" s="1">
        <v>14.0</v>
      </c>
      <c r="AD16" s="2">
        <f t="shared" si="6"/>
        <v>-169</v>
      </c>
      <c r="AE16" s="2">
        <f t="shared" si="7"/>
        <v>225</v>
      </c>
      <c r="AF16" s="2">
        <f t="shared" si="8"/>
        <v>223</v>
      </c>
      <c r="AG16" s="2">
        <f t="shared" si="9"/>
        <v>-167</v>
      </c>
      <c r="AH16" s="2">
        <f t="shared" si="10"/>
        <v>112</v>
      </c>
      <c r="AV16" s="2"/>
      <c r="AW16" s="2"/>
    </row>
    <row r="17" ht="49.5" customHeight="1">
      <c r="A17" s="2"/>
      <c r="B17" s="2"/>
      <c r="C17" s="2"/>
      <c r="D17" s="2"/>
      <c r="T17" s="1">
        <v>15.0</v>
      </c>
      <c r="U17" s="2">
        <f t="shared" si="1"/>
        <v>-196</v>
      </c>
      <c r="V17" s="2">
        <f t="shared" si="2"/>
        <v>256</v>
      </c>
      <c r="W17" s="2">
        <f t="shared" si="3"/>
        <v>254</v>
      </c>
      <c r="X17" s="2">
        <f t="shared" si="4"/>
        <v>-194</v>
      </c>
      <c r="Y17" s="2">
        <f t="shared" si="5"/>
        <v>120</v>
      </c>
      <c r="Z17" s="2"/>
      <c r="AA17" s="2"/>
      <c r="AB17" s="2"/>
      <c r="AC17" s="1">
        <v>15.0</v>
      </c>
      <c r="AD17" s="2">
        <f t="shared" si="6"/>
        <v>-196</v>
      </c>
      <c r="AE17" s="2">
        <f t="shared" si="7"/>
        <v>256</v>
      </c>
      <c r="AF17" s="2">
        <f t="shared" si="8"/>
        <v>254</v>
      </c>
      <c r="AG17" s="2">
        <f t="shared" si="9"/>
        <v>-194</v>
      </c>
      <c r="AH17" s="2">
        <f t="shared" si="10"/>
        <v>120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ht="49.5" customHeight="1">
      <c r="A18" s="2"/>
      <c r="B18" s="2"/>
      <c r="C18" s="2"/>
      <c r="D18" s="2"/>
      <c r="T18" s="1">
        <v>16.0</v>
      </c>
      <c r="U18" s="2">
        <f t="shared" si="1"/>
        <v>-225</v>
      </c>
      <c r="V18" s="2">
        <f t="shared" si="2"/>
        <v>289</v>
      </c>
      <c r="W18" s="2">
        <f t="shared" si="3"/>
        <v>287</v>
      </c>
      <c r="X18" s="2">
        <f t="shared" si="4"/>
        <v>-223</v>
      </c>
      <c r="Y18" s="2">
        <f t="shared" si="5"/>
        <v>128</v>
      </c>
      <c r="Z18" s="2"/>
      <c r="AA18" s="2"/>
      <c r="AB18" s="2"/>
      <c r="AC18" s="1">
        <v>16.0</v>
      </c>
      <c r="AD18" s="2">
        <f t="shared" si="6"/>
        <v>-225</v>
      </c>
      <c r="AE18" s="2">
        <f t="shared" si="7"/>
        <v>289</v>
      </c>
      <c r="AF18" s="2">
        <f t="shared" si="8"/>
        <v>287</v>
      </c>
      <c r="AG18" s="2">
        <f t="shared" si="9"/>
        <v>-223</v>
      </c>
      <c r="AH18" s="2">
        <f t="shared" si="10"/>
        <v>128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ht="49.5" customHeight="1">
      <c r="A19" s="2"/>
      <c r="B19" s="2"/>
      <c r="C19" s="2"/>
      <c r="D19" s="2"/>
      <c r="T19" s="1">
        <v>17.0</v>
      </c>
      <c r="U19" s="2">
        <f t="shared" si="1"/>
        <v>-256</v>
      </c>
      <c r="V19" s="2">
        <f t="shared" si="2"/>
        <v>324</v>
      </c>
      <c r="W19" s="2">
        <f t="shared" si="3"/>
        <v>322</v>
      </c>
      <c r="X19" s="2">
        <f t="shared" si="4"/>
        <v>-254</v>
      </c>
      <c r="Y19" s="2">
        <f t="shared" si="5"/>
        <v>136</v>
      </c>
      <c r="Z19" s="2"/>
      <c r="AA19" s="2"/>
      <c r="AB19" s="2"/>
      <c r="AC19" s="1">
        <v>17.0</v>
      </c>
      <c r="AD19" s="2">
        <f t="shared" si="6"/>
        <v>-256</v>
      </c>
      <c r="AE19" s="2">
        <f t="shared" si="7"/>
        <v>324</v>
      </c>
      <c r="AF19" s="2">
        <f t="shared" si="8"/>
        <v>322</v>
      </c>
      <c r="AG19" s="2">
        <f t="shared" si="9"/>
        <v>-254</v>
      </c>
      <c r="AH19" s="2">
        <f t="shared" si="10"/>
        <v>136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ht="49.5" customHeight="1">
      <c r="A20" s="2"/>
      <c r="B20" s="2"/>
      <c r="C20" s="2"/>
      <c r="D20" s="2"/>
      <c r="T20" s="1">
        <v>18.0</v>
      </c>
      <c r="U20" s="2">
        <f t="shared" si="1"/>
        <v>-289</v>
      </c>
      <c r="V20" s="2">
        <f t="shared" si="2"/>
        <v>361</v>
      </c>
      <c r="W20" s="2">
        <f t="shared" si="3"/>
        <v>359</v>
      </c>
      <c r="X20" s="2">
        <f t="shared" si="4"/>
        <v>-287</v>
      </c>
      <c r="Y20" s="2">
        <f t="shared" si="5"/>
        <v>144</v>
      </c>
      <c r="Z20" s="2"/>
      <c r="AA20" s="2"/>
      <c r="AB20" s="2"/>
      <c r="AC20" s="1">
        <v>18.0</v>
      </c>
      <c r="AD20" s="2">
        <f t="shared" si="6"/>
        <v>-289</v>
      </c>
      <c r="AE20" s="2">
        <f t="shared" si="7"/>
        <v>361</v>
      </c>
      <c r="AF20" s="2">
        <f t="shared" si="8"/>
        <v>359</v>
      </c>
      <c r="AG20" s="2">
        <f t="shared" si="9"/>
        <v>-287</v>
      </c>
      <c r="AH20" s="2">
        <f t="shared" si="10"/>
        <v>144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ht="49.5" customHeight="1">
      <c r="A21" s="2"/>
      <c r="B21" s="2"/>
      <c r="C21" s="2"/>
      <c r="D21" s="2"/>
      <c r="T21" s="1">
        <v>19.0</v>
      </c>
      <c r="U21" s="2">
        <f t="shared" si="1"/>
        <v>-324</v>
      </c>
      <c r="V21" s="2">
        <f t="shared" si="2"/>
        <v>400</v>
      </c>
      <c r="W21" s="2">
        <f t="shared" si="3"/>
        <v>398</v>
      </c>
      <c r="X21" s="2">
        <f t="shared" si="4"/>
        <v>-322</v>
      </c>
      <c r="Y21" s="2">
        <f t="shared" si="5"/>
        <v>152</v>
      </c>
      <c r="Z21" s="2"/>
      <c r="AA21" s="2"/>
      <c r="AB21" s="2"/>
      <c r="AC21" s="1">
        <v>19.0</v>
      </c>
      <c r="AD21" s="2">
        <f t="shared" si="6"/>
        <v>-324</v>
      </c>
      <c r="AE21" s="2">
        <f t="shared" si="7"/>
        <v>400</v>
      </c>
      <c r="AF21" s="2">
        <f t="shared" si="8"/>
        <v>398</v>
      </c>
      <c r="AG21" s="2">
        <f t="shared" si="9"/>
        <v>-322</v>
      </c>
      <c r="AH21" s="2">
        <f t="shared" si="10"/>
        <v>152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ht="49.5" customHeight="1">
      <c r="A22" s="2"/>
      <c r="B22" s="2"/>
      <c r="C22" s="2"/>
      <c r="D22" s="2"/>
      <c r="T22" s="1">
        <v>20.0</v>
      </c>
      <c r="U22" s="2">
        <f t="shared" si="1"/>
        <v>-361</v>
      </c>
      <c r="V22" s="2">
        <f t="shared" si="2"/>
        <v>441</v>
      </c>
      <c r="W22" s="2">
        <f t="shared" si="3"/>
        <v>439</v>
      </c>
      <c r="X22" s="2">
        <f t="shared" si="4"/>
        <v>-359</v>
      </c>
      <c r="Y22" s="2">
        <f t="shared" si="5"/>
        <v>160</v>
      </c>
      <c r="Z22" s="2"/>
      <c r="AA22" s="2"/>
      <c r="AB22" s="2"/>
      <c r="AC22" s="1">
        <v>20.0</v>
      </c>
      <c r="AD22" s="2">
        <f t="shared" si="6"/>
        <v>-361</v>
      </c>
      <c r="AE22" s="2">
        <f t="shared" si="7"/>
        <v>441</v>
      </c>
      <c r="AF22" s="2">
        <f t="shared" si="8"/>
        <v>439</v>
      </c>
      <c r="AG22" s="2">
        <f t="shared" si="9"/>
        <v>-359</v>
      </c>
      <c r="AH22" s="2">
        <f t="shared" si="10"/>
        <v>160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ht="49.5" customHeight="1">
      <c r="A23" s="2"/>
      <c r="B23" s="2"/>
      <c r="C23" s="2"/>
      <c r="D23" s="2"/>
      <c r="T23" s="1">
        <v>21.0</v>
      </c>
      <c r="U23" s="2">
        <f t="shared" si="1"/>
        <v>-400</v>
      </c>
      <c r="V23" s="2">
        <f t="shared" si="2"/>
        <v>484</v>
      </c>
      <c r="W23" s="2">
        <f t="shared" si="3"/>
        <v>482</v>
      </c>
      <c r="X23" s="2">
        <f t="shared" si="4"/>
        <v>-398</v>
      </c>
      <c r="Y23" s="2">
        <f t="shared" si="5"/>
        <v>168</v>
      </c>
      <c r="Z23" s="2"/>
      <c r="AA23" s="2"/>
      <c r="AB23" s="2"/>
      <c r="AC23" s="1">
        <v>21.0</v>
      </c>
      <c r="AD23" s="2">
        <f t="shared" si="6"/>
        <v>-400</v>
      </c>
      <c r="AE23" s="2">
        <f t="shared" si="7"/>
        <v>484</v>
      </c>
      <c r="AF23" s="2">
        <f t="shared" si="8"/>
        <v>482</v>
      </c>
      <c r="AG23" s="2">
        <f t="shared" si="9"/>
        <v>-398</v>
      </c>
      <c r="AH23" s="2">
        <f t="shared" si="10"/>
        <v>168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ht="49.5" customHeight="1">
      <c r="A24" s="2"/>
      <c r="B24" s="2"/>
      <c r="C24" s="2"/>
      <c r="D24" s="2"/>
      <c r="T24" s="1">
        <v>22.0</v>
      </c>
      <c r="U24" s="2">
        <f t="shared" si="1"/>
        <v>-441</v>
      </c>
      <c r="V24" s="2">
        <f t="shared" si="2"/>
        <v>529</v>
      </c>
      <c r="W24" s="2">
        <f t="shared" si="3"/>
        <v>527</v>
      </c>
      <c r="X24" s="2">
        <f t="shared" si="4"/>
        <v>-439</v>
      </c>
      <c r="Y24" s="2">
        <f t="shared" si="5"/>
        <v>176</v>
      </c>
      <c r="Z24" s="2"/>
      <c r="AA24" s="2"/>
      <c r="AB24" s="2"/>
      <c r="AC24" s="1">
        <v>22.0</v>
      </c>
      <c r="AD24" s="2">
        <f t="shared" si="6"/>
        <v>-441</v>
      </c>
      <c r="AE24" s="2">
        <f t="shared" si="7"/>
        <v>529</v>
      </c>
      <c r="AF24" s="2">
        <f t="shared" si="8"/>
        <v>527</v>
      </c>
      <c r="AG24" s="2">
        <f t="shared" si="9"/>
        <v>-439</v>
      </c>
      <c r="AH24" s="2">
        <f t="shared" si="10"/>
        <v>176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ht="49.5" customHeight="1">
      <c r="A25" s="2"/>
      <c r="B25" s="2"/>
      <c r="C25" s="2"/>
      <c r="D25" s="2"/>
      <c r="T25" s="1">
        <v>23.0</v>
      </c>
      <c r="U25" s="2">
        <f t="shared" si="1"/>
        <v>-484</v>
      </c>
      <c r="V25" s="2">
        <f t="shared" si="2"/>
        <v>576</v>
      </c>
      <c r="W25" s="2">
        <f t="shared" si="3"/>
        <v>574</v>
      </c>
      <c r="X25" s="2">
        <f t="shared" si="4"/>
        <v>-482</v>
      </c>
      <c r="Y25" s="2">
        <f t="shared" si="5"/>
        <v>184</v>
      </c>
      <c r="Z25" s="2"/>
      <c r="AA25" s="2"/>
      <c r="AB25" s="2"/>
      <c r="AC25" s="1">
        <v>23.0</v>
      </c>
      <c r="AD25" s="2">
        <f t="shared" si="6"/>
        <v>-484</v>
      </c>
      <c r="AE25" s="2">
        <f t="shared" si="7"/>
        <v>576</v>
      </c>
      <c r="AF25" s="2">
        <f t="shared" si="8"/>
        <v>574</v>
      </c>
      <c r="AG25" s="2">
        <f t="shared" si="9"/>
        <v>-482</v>
      </c>
      <c r="AH25" s="2">
        <f t="shared" si="10"/>
        <v>184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ht="49.5" customHeight="1">
      <c r="A26" s="2"/>
      <c r="B26" s="2"/>
      <c r="C26" s="2"/>
      <c r="D26" s="2"/>
      <c r="T26" s="1">
        <v>24.0</v>
      </c>
      <c r="U26" s="2">
        <f t="shared" si="1"/>
        <v>-529</v>
      </c>
      <c r="V26" s="2">
        <f t="shared" si="2"/>
        <v>625</v>
      </c>
      <c r="W26" s="2">
        <f t="shared" si="3"/>
        <v>623</v>
      </c>
      <c r="X26" s="2">
        <f t="shared" si="4"/>
        <v>-527</v>
      </c>
      <c r="Y26" s="2">
        <f t="shared" si="5"/>
        <v>192</v>
      </c>
      <c r="Z26" s="2"/>
      <c r="AA26" s="2"/>
      <c r="AB26" s="2"/>
      <c r="AC26" s="1">
        <v>24.0</v>
      </c>
      <c r="AD26" s="2">
        <f t="shared" si="6"/>
        <v>-529</v>
      </c>
      <c r="AE26" s="2">
        <f t="shared" si="7"/>
        <v>625</v>
      </c>
      <c r="AF26" s="2">
        <f t="shared" si="8"/>
        <v>623</v>
      </c>
      <c r="AG26" s="2">
        <f t="shared" si="9"/>
        <v>-527</v>
      </c>
      <c r="AH26" s="2">
        <f t="shared" si="10"/>
        <v>192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ht="49.5" customHeight="1">
      <c r="A27" s="2"/>
      <c r="B27" s="2"/>
      <c r="C27" s="2"/>
      <c r="D27" s="2"/>
      <c r="T27" s="1">
        <v>25.0</v>
      </c>
      <c r="U27" s="2">
        <f t="shared" si="1"/>
        <v>-576</v>
      </c>
      <c r="V27" s="2">
        <f t="shared" si="2"/>
        <v>676</v>
      </c>
      <c r="W27" s="2">
        <f t="shared" si="3"/>
        <v>674</v>
      </c>
      <c r="X27" s="2">
        <f t="shared" si="4"/>
        <v>-574</v>
      </c>
      <c r="Y27" s="2">
        <f t="shared" si="5"/>
        <v>200</v>
      </c>
      <c r="Z27" s="2"/>
      <c r="AA27" s="2"/>
      <c r="AB27" s="2"/>
      <c r="AC27" s="1">
        <v>25.0</v>
      </c>
      <c r="AD27" s="2">
        <f t="shared" si="6"/>
        <v>-576</v>
      </c>
      <c r="AE27" s="2">
        <f t="shared" si="7"/>
        <v>676</v>
      </c>
      <c r="AF27" s="2">
        <f t="shared" si="8"/>
        <v>674</v>
      </c>
      <c r="AG27" s="2">
        <f t="shared" si="9"/>
        <v>-574</v>
      </c>
      <c r="AH27" s="2">
        <f t="shared" si="10"/>
        <v>200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ht="49.5" customHeight="1">
      <c r="A28" s="2"/>
      <c r="B28" s="2"/>
      <c r="C28" s="2"/>
      <c r="D28" s="2"/>
      <c r="X28" s="2"/>
      <c r="Y28" s="2"/>
      <c r="Z28" s="2"/>
      <c r="AA28" s="2"/>
      <c r="AB28" s="2"/>
      <c r="AC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ht="49.5" customHeight="1">
      <c r="A29" s="1" t="s">
        <v>8</v>
      </c>
      <c r="B29" s="1" t="s">
        <v>38</v>
      </c>
      <c r="C29" s="1">
        <f>T2</f>
        <v>0</v>
      </c>
      <c r="D29" s="2"/>
      <c r="E29" s="1" t="s">
        <v>13</v>
      </c>
      <c r="F29" s="1" t="s">
        <v>39</v>
      </c>
      <c r="G29" s="3">
        <f>U2</f>
        <v>-1</v>
      </c>
      <c r="H29" s="4">
        <f>X2</f>
        <v>1</v>
      </c>
      <c r="J29" s="3">
        <f>U2</f>
        <v>-1</v>
      </c>
      <c r="K29" s="4">
        <f>X2</f>
        <v>1</v>
      </c>
      <c r="L29" s="2"/>
      <c r="M29" s="3">
        <f>U2</f>
        <v>-1</v>
      </c>
      <c r="N29" s="5">
        <f>X2</f>
        <v>1</v>
      </c>
      <c r="P29" s="6">
        <f>U2</f>
        <v>-1</v>
      </c>
      <c r="Q29" s="7">
        <f>X2</f>
        <v>1</v>
      </c>
      <c r="R29" s="1" t="s">
        <v>39</v>
      </c>
      <c r="S29" s="8">
        <f>C29</f>
        <v>0</v>
      </c>
      <c r="T29" s="9">
        <f>C29</f>
        <v>0</v>
      </c>
      <c r="U29" s="10">
        <f>C29</f>
        <v>0</v>
      </c>
      <c r="V29" s="2"/>
      <c r="W29" s="2"/>
      <c r="X29" s="2"/>
      <c r="Y29" s="2"/>
      <c r="Z29" s="2"/>
      <c r="AA29" s="2"/>
      <c r="AB29" s="1" t="s">
        <v>40</v>
      </c>
      <c r="AC29" s="2"/>
      <c r="AE29" s="1" t="s">
        <v>41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ht="49.5" customHeight="1">
      <c r="A30" s="2"/>
      <c r="B30" s="2"/>
      <c r="C30" s="2"/>
      <c r="D30" s="2"/>
      <c r="E30" s="11">
        <f>Y2</f>
        <v>0</v>
      </c>
      <c r="F30" s="2"/>
      <c r="G30" s="12">
        <f>W2</f>
        <v>-1</v>
      </c>
      <c r="H30" s="13">
        <f>V2</f>
        <v>1</v>
      </c>
      <c r="I30" s="2"/>
      <c r="J30" s="14">
        <f>W2</f>
        <v>-1</v>
      </c>
      <c r="K30" s="15">
        <f>V2</f>
        <v>1</v>
      </c>
      <c r="L30" s="2"/>
      <c r="M30" s="12">
        <f>W2</f>
        <v>-1</v>
      </c>
      <c r="N30" s="15">
        <f>V2</f>
        <v>1</v>
      </c>
      <c r="P30" s="16">
        <f>W2</f>
        <v>-1</v>
      </c>
      <c r="Q30" s="17">
        <f>V2</f>
        <v>1</v>
      </c>
      <c r="S30" s="18">
        <f>C29</f>
        <v>0</v>
      </c>
      <c r="T30" s="19"/>
      <c r="U30" s="20">
        <f>C29</f>
        <v>0</v>
      </c>
      <c r="V30" s="2"/>
      <c r="W30" s="2"/>
      <c r="X30" s="2"/>
      <c r="Y30" s="2"/>
      <c r="Z30" s="2"/>
      <c r="AA30" s="2"/>
      <c r="AB30" s="3" t="str">
        <f t="shared" ref="AB30:AC30" si="11">getFactors(G29)</f>
        <v>1</v>
      </c>
      <c r="AC30" s="4" t="str">
        <f t="shared" si="11"/>
        <v>1</v>
      </c>
      <c r="AE30" s="3" t="str">
        <f> getPrimeFactors(J29)</f>
        <v/>
      </c>
      <c r="AF30" s="4" t="str">
        <f>getPrimeFactors(K29)</f>
        <v/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ht="49.5" customHeight="1">
      <c r="A31" s="2"/>
      <c r="B31" s="2"/>
      <c r="C31" s="2"/>
      <c r="D31" s="2"/>
      <c r="S31" s="21">
        <f>C29</f>
        <v>0</v>
      </c>
      <c r="T31" s="22">
        <f>C29</f>
        <v>0</v>
      </c>
      <c r="U31" s="23">
        <f>C29</f>
        <v>0</v>
      </c>
      <c r="V31" s="24">
        <f>W32-X33</f>
        <v>-4</v>
      </c>
      <c r="W31" s="25">
        <f t="shared" ref="W31:X31" si="12">W32-W33</f>
        <v>0</v>
      </c>
      <c r="X31" s="25">
        <f t="shared" si="12"/>
        <v>0</v>
      </c>
      <c r="Y31" s="26">
        <f>X32-W33</f>
        <v>4</v>
      </c>
      <c r="Z31" s="2"/>
      <c r="AA31" s="2"/>
      <c r="AB31" s="12" t="str">
        <f t="shared" ref="AB31:AC31" si="13">getFactors(G30)</f>
        <v>1</v>
      </c>
      <c r="AC31" s="13" t="str">
        <f t="shared" si="13"/>
        <v>1</v>
      </c>
      <c r="AE31" s="12" t="str">
        <f t="shared" ref="AE31:AF31" si="14">getPrimeFactors(J30)</f>
        <v/>
      </c>
      <c r="AF31" s="13" t="str">
        <f t="shared" si="14"/>
        <v/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ht="49.5" customHeight="1">
      <c r="F32" s="27" t="s">
        <v>42</v>
      </c>
      <c r="G32" s="28">
        <f>G29+H30</f>
        <v>0</v>
      </c>
      <c r="H32" s="29">
        <f>G30+H29</f>
        <v>0</v>
      </c>
      <c r="I32" s="30"/>
      <c r="J32" s="31">
        <f t="shared" ref="J32:K32" si="15">J29+J30</f>
        <v>-2</v>
      </c>
      <c r="K32" s="29">
        <f t="shared" si="15"/>
        <v>2</v>
      </c>
      <c r="L32" s="30"/>
      <c r="M32" s="32">
        <f>M29+N29</f>
        <v>0</v>
      </c>
      <c r="N32" s="33">
        <f>M30+N30</f>
        <v>0</v>
      </c>
      <c r="P32" s="34">
        <f>E30</f>
        <v>0</v>
      </c>
      <c r="S32" s="2"/>
      <c r="T32" s="2"/>
      <c r="U32" s="2"/>
      <c r="V32" s="25">
        <f t="shared" ref="V32:V33" si="18">W32-X32</f>
        <v>-4</v>
      </c>
      <c r="W32" s="35">
        <f t="shared" ref="W32:X32" si="16">P33</f>
        <v>-2</v>
      </c>
      <c r="X32" s="35">
        <f t="shared" si="16"/>
        <v>2</v>
      </c>
      <c r="Y32" s="36">
        <f t="shared" ref="Y32:Y33" si="20">X32-W32</f>
        <v>4</v>
      </c>
      <c r="Z32" s="2"/>
      <c r="AA32" s="2"/>
      <c r="AB32" s="2"/>
      <c r="AC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ht="49.5" customHeight="1">
      <c r="F33" s="37" t="s">
        <v>43</v>
      </c>
      <c r="G33" s="38">
        <f>G29-H30</f>
        <v>-2</v>
      </c>
      <c r="H33" s="39">
        <f>H29-G30</f>
        <v>2</v>
      </c>
      <c r="I33" s="40"/>
      <c r="J33" s="32">
        <f t="shared" ref="J33:K33" si="17">J29-J30</f>
        <v>0</v>
      </c>
      <c r="K33" s="41">
        <f t="shared" si="17"/>
        <v>0</v>
      </c>
      <c r="L33" s="30"/>
      <c r="M33" s="38">
        <f>M29-N29</f>
        <v>-2</v>
      </c>
      <c r="N33" s="33">
        <f>M30-N30</f>
        <v>-2</v>
      </c>
      <c r="P33" s="42">
        <f>P29-Q30-Q29-P30</f>
        <v>-2</v>
      </c>
      <c r="Q33" s="43">
        <f>Q29-P30-P29-Q30</f>
        <v>2</v>
      </c>
      <c r="S33" s="2"/>
      <c r="T33" s="2"/>
      <c r="U33" s="2"/>
      <c r="V33" s="44">
        <f t="shared" si="18"/>
        <v>-4</v>
      </c>
      <c r="W33" s="35">
        <f t="shared" ref="W33:X33" si="19">P34</f>
        <v>-2</v>
      </c>
      <c r="X33" s="35">
        <f t="shared" si="19"/>
        <v>2</v>
      </c>
      <c r="Y33" s="36">
        <f t="shared" si="20"/>
        <v>4</v>
      </c>
      <c r="Z33" s="2"/>
      <c r="AA33" s="2"/>
      <c r="AB33" s="2"/>
      <c r="AC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ht="49.5" customHeight="1">
      <c r="A34" s="2"/>
      <c r="B34" s="2"/>
      <c r="C34" s="2"/>
      <c r="D34" s="2"/>
      <c r="E34" s="2"/>
      <c r="F34" s="45"/>
      <c r="G34" s="46">
        <f>H30-G29</f>
        <v>2</v>
      </c>
      <c r="H34" s="47">
        <f>G30-H29</f>
        <v>-2</v>
      </c>
      <c r="I34" s="48"/>
      <c r="J34" s="49">
        <f t="shared" ref="J34:K34" si="21">J30-J29</f>
        <v>0</v>
      </c>
      <c r="K34" s="50">
        <f t="shared" si="21"/>
        <v>0</v>
      </c>
      <c r="L34" s="48"/>
      <c r="M34" s="51">
        <f>N29-M29</f>
        <v>2</v>
      </c>
      <c r="N34" s="52">
        <f>N30-M30</f>
        <v>2</v>
      </c>
      <c r="O34" s="2"/>
      <c r="P34" s="53">
        <f>P30-Q29-Q30-P29</f>
        <v>-2</v>
      </c>
      <c r="Q34" s="54">
        <f>Q30-P30-P29-Q29</f>
        <v>2</v>
      </c>
      <c r="R34" s="2"/>
      <c r="S34" s="2"/>
      <c r="T34" s="2"/>
      <c r="U34" s="2"/>
      <c r="V34" s="25">
        <f>W33-X32</f>
        <v>-4</v>
      </c>
      <c r="W34" s="55">
        <f t="shared" ref="W34:X34" si="22">W33-W32</f>
        <v>0</v>
      </c>
      <c r="X34" s="36">
        <f t="shared" si="22"/>
        <v>0</v>
      </c>
      <c r="Y34" s="56">
        <f>X33-W32</f>
        <v>4</v>
      </c>
      <c r="Z34" s="2"/>
      <c r="AA34" s="2"/>
      <c r="AB34" s="2"/>
      <c r="AC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ht="49.5" customHeight="1">
      <c r="A35" s="2"/>
      <c r="B35" s="2"/>
      <c r="C35" s="2"/>
      <c r="D35" s="2"/>
      <c r="X35" s="2"/>
      <c r="Y35" s="2"/>
      <c r="Z35" s="2"/>
      <c r="AA35" s="2"/>
      <c r="AB35" s="2"/>
      <c r="AC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ht="49.5" customHeight="1">
      <c r="A36" s="1" t="s">
        <v>8</v>
      </c>
      <c r="B36" s="1" t="s">
        <v>38</v>
      </c>
      <c r="C36" s="1">
        <f>T3</f>
        <v>1</v>
      </c>
      <c r="D36" s="2"/>
      <c r="E36" s="1" t="s">
        <v>13</v>
      </c>
      <c r="F36" s="1" t="s">
        <v>39</v>
      </c>
      <c r="G36" s="3">
        <f>U3</f>
        <v>0</v>
      </c>
      <c r="H36" s="4">
        <f>X3</f>
        <v>2</v>
      </c>
      <c r="J36" s="3">
        <f>U3</f>
        <v>0</v>
      </c>
      <c r="K36" s="4">
        <f>X3</f>
        <v>2</v>
      </c>
      <c r="L36" s="2"/>
      <c r="M36" s="3">
        <f>U3</f>
        <v>0</v>
      </c>
      <c r="N36" s="5">
        <f>X3</f>
        <v>2</v>
      </c>
      <c r="P36" s="6">
        <f>U3</f>
        <v>0</v>
      </c>
      <c r="Q36" s="7">
        <f>X3</f>
        <v>2</v>
      </c>
      <c r="R36" s="1" t="s">
        <v>39</v>
      </c>
      <c r="S36" s="8">
        <f>C36</f>
        <v>1</v>
      </c>
      <c r="T36" s="9">
        <f>C36</f>
        <v>1</v>
      </c>
      <c r="U36" s="10">
        <f>C36</f>
        <v>1</v>
      </c>
      <c r="V36" s="2"/>
      <c r="W36" s="2"/>
      <c r="X36" s="2"/>
      <c r="Y36" s="2"/>
      <c r="Z36" s="2"/>
      <c r="AA36" s="2"/>
      <c r="AB36" s="2"/>
      <c r="AC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ht="49.5" customHeight="1">
      <c r="A37" s="2"/>
      <c r="B37" s="2"/>
      <c r="C37" s="2"/>
      <c r="D37" s="2"/>
      <c r="E37" s="11">
        <f>Y3</f>
        <v>8</v>
      </c>
      <c r="F37" s="2"/>
      <c r="G37" s="12">
        <f>W3</f>
        <v>2</v>
      </c>
      <c r="H37" s="13">
        <f>V3</f>
        <v>4</v>
      </c>
      <c r="I37" s="2"/>
      <c r="J37" s="14">
        <f>W3</f>
        <v>2</v>
      </c>
      <c r="K37" s="15">
        <f>V3</f>
        <v>4</v>
      </c>
      <c r="L37" s="2"/>
      <c r="M37" s="12">
        <f>W3</f>
        <v>2</v>
      </c>
      <c r="N37" s="15">
        <f>V3</f>
        <v>4</v>
      </c>
      <c r="P37" s="16">
        <f>W3</f>
        <v>2</v>
      </c>
      <c r="Q37" s="17">
        <f>V3</f>
        <v>4</v>
      </c>
      <c r="S37" s="18">
        <f>C36</f>
        <v>1</v>
      </c>
      <c r="T37" s="19"/>
      <c r="U37" s="20">
        <f>C36</f>
        <v>1</v>
      </c>
      <c r="V37" s="2"/>
      <c r="W37" s="2"/>
      <c r="X37" s="2"/>
      <c r="Y37" s="2"/>
    </row>
    <row r="38" ht="49.5" customHeight="1">
      <c r="A38" s="2"/>
      <c r="B38" s="2"/>
      <c r="C38" s="2"/>
      <c r="D38" s="2"/>
      <c r="S38" s="21">
        <f>C36</f>
        <v>1</v>
      </c>
      <c r="T38" s="22">
        <f>C36</f>
        <v>1</v>
      </c>
      <c r="U38" s="23">
        <f>C36</f>
        <v>1</v>
      </c>
      <c r="V38" s="24">
        <f>W39-X40</f>
        <v>-8</v>
      </c>
      <c r="W38" s="25">
        <f t="shared" ref="W38:X38" si="23">W39-W40</f>
        <v>-4</v>
      </c>
      <c r="X38" s="25">
        <f t="shared" si="23"/>
        <v>-4</v>
      </c>
      <c r="Y38" s="26">
        <f>X39-W40</f>
        <v>0</v>
      </c>
      <c r="AI38" s="1" t="s">
        <v>44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U38" s="1" t="s">
        <v>45</v>
      </c>
      <c r="AV38" s="2"/>
      <c r="AW38" s="2"/>
      <c r="AX38" s="2"/>
    </row>
    <row r="39" ht="49.5" customHeight="1">
      <c r="F39" s="27" t="s">
        <v>42</v>
      </c>
      <c r="G39" s="28">
        <f>G36+H37</f>
        <v>4</v>
      </c>
      <c r="H39" s="29">
        <f>G37+H36</f>
        <v>4</v>
      </c>
      <c r="I39" s="30"/>
      <c r="J39" s="31">
        <f t="shared" ref="J39:K39" si="24">J36+J37</f>
        <v>2</v>
      </c>
      <c r="K39" s="29">
        <f t="shared" si="24"/>
        <v>6</v>
      </c>
      <c r="L39" s="30"/>
      <c r="M39" s="32">
        <f>M36+N36</f>
        <v>2</v>
      </c>
      <c r="N39" s="33">
        <f>M37+N37</f>
        <v>6</v>
      </c>
      <c r="P39" s="34">
        <f>E37</f>
        <v>8</v>
      </c>
      <c r="S39" s="2"/>
      <c r="T39" s="2"/>
      <c r="U39" s="2"/>
      <c r="V39" s="25">
        <f t="shared" ref="V39:V40" si="27">W39-X39</f>
        <v>-4</v>
      </c>
      <c r="W39" s="35">
        <f t="shared" ref="W39:X39" si="25">P40</f>
        <v>-8</v>
      </c>
      <c r="X39" s="35">
        <f t="shared" si="25"/>
        <v>-4</v>
      </c>
      <c r="Y39" s="36">
        <f t="shared" ref="Y39:Y40" si="29">X39-W39</f>
        <v>4</v>
      </c>
    </row>
    <row r="40" ht="49.5" customHeight="1">
      <c r="F40" s="37" t="s">
        <v>43</v>
      </c>
      <c r="G40" s="38">
        <f>G36-H37</f>
        <v>-4</v>
      </c>
      <c r="H40" s="39">
        <f>H36-G37</f>
        <v>0</v>
      </c>
      <c r="I40" s="40"/>
      <c r="J40" s="32">
        <f t="shared" ref="J40:K40" si="26">J36-J37</f>
        <v>-2</v>
      </c>
      <c r="K40" s="41">
        <f t="shared" si="26"/>
        <v>-2</v>
      </c>
      <c r="L40" s="30"/>
      <c r="M40" s="38">
        <f>M36-N36</f>
        <v>-2</v>
      </c>
      <c r="N40" s="33">
        <f>M37-N37</f>
        <v>-2</v>
      </c>
      <c r="P40" s="42">
        <f>P36-Q37-Q36-P37</f>
        <v>-8</v>
      </c>
      <c r="Q40" s="43">
        <f>Q36-P37-P36-Q37</f>
        <v>-4</v>
      </c>
      <c r="S40" s="2"/>
      <c r="T40" s="2"/>
      <c r="U40" s="2"/>
      <c r="V40" s="44">
        <f t="shared" si="27"/>
        <v>-4</v>
      </c>
      <c r="W40" s="35">
        <f t="shared" ref="W40:X40" si="28">P41</f>
        <v>-4</v>
      </c>
      <c r="X40" s="35">
        <f t="shared" si="28"/>
        <v>0</v>
      </c>
      <c r="Y40" s="36">
        <f t="shared" si="29"/>
        <v>4</v>
      </c>
    </row>
    <row r="41" ht="49.5" customHeight="1">
      <c r="A41" s="2"/>
      <c r="B41" s="2"/>
      <c r="C41" s="2"/>
      <c r="D41" s="2"/>
      <c r="E41" s="2"/>
      <c r="F41" s="45"/>
      <c r="G41" s="46">
        <f>H37-G36</f>
        <v>4</v>
      </c>
      <c r="H41" s="47">
        <f>G37-H36</f>
        <v>0</v>
      </c>
      <c r="I41" s="48"/>
      <c r="J41" s="49">
        <f t="shared" ref="J41:K41" si="30">J37-J36</f>
        <v>2</v>
      </c>
      <c r="K41" s="50">
        <f t="shared" si="30"/>
        <v>2</v>
      </c>
      <c r="L41" s="48"/>
      <c r="M41" s="51">
        <f>N36-M36</f>
        <v>2</v>
      </c>
      <c r="N41" s="52">
        <f>N37-M37</f>
        <v>2</v>
      </c>
      <c r="O41" s="2"/>
      <c r="P41" s="53">
        <f>P37-Q36-Q37-P36</f>
        <v>-4</v>
      </c>
      <c r="Q41" s="54">
        <f>Q37-P37-P36-Q36</f>
        <v>0</v>
      </c>
      <c r="R41" s="2"/>
      <c r="S41" s="2"/>
      <c r="T41" s="2"/>
      <c r="U41" s="2"/>
      <c r="V41" s="25">
        <f>W40-X39</f>
        <v>0</v>
      </c>
      <c r="W41" s="55">
        <f t="shared" ref="W41:X41" si="31">W40-W39</f>
        <v>4</v>
      </c>
      <c r="X41" s="36">
        <f t="shared" si="31"/>
        <v>4</v>
      </c>
      <c r="Y41" s="56">
        <f>X40-W39</f>
        <v>8</v>
      </c>
    </row>
    <row r="42" ht="4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49.5" customHeight="1">
      <c r="A43" s="1" t="s">
        <v>8</v>
      </c>
      <c r="B43" s="1" t="s">
        <v>38</v>
      </c>
      <c r="C43" s="1">
        <f>T4</f>
        <v>2</v>
      </c>
      <c r="D43" s="2"/>
      <c r="E43" s="1" t="s">
        <v>13</v>
      </c>
      <c r="F43" s="1" t="s">
        <v>39</v>
      </c>
      <c r="G43" s="3">
        <f>U4</f>
        <v>-1</v>
      </c>
      <c r="H43" s="4">
        <f>X4</f>
        <v>1</v>
      </c>
      <c r="J43" s="3">
        <f>U4</f>
        <v>-1</v>
      </c>
      <c r="K43" s="4">
        <f>X4</f>
        <v>1</v>
      </c>
      <c r="L43" s="2"/>
      <c r="M43" s="3">
        <f>U4</f>
        <v>-1</v>
      </c>
      <c r="N43" s="5">
        <f>X4</f>
        <v>1</v>
      </c>
      <c r="P43" s="6">
        <f>U4</f>
        <v>-1</v>
      </c>
      <c r="Q43" s="7">
        <f>X4</f>
        <v>1</v>
      </c>
      <c r="R43" s="1" t="s">
        <v>39</v>
      </c>
      <c r="S43" s="8">
        <f>C43</f>
        <v>2</v>
      </c>
      <c r="T43" s="9">
        <f>C43</f>
        <v>2</v>
      </c>
      <c r="U43" s="10">
        <f>C43</f>
        <v>2</v>
      </c>
      <c r="V43" s="2"/>
      <c r="W43" s="2"/>
      <c r="X43" s="2"/>
      <c r="Y43" s="2"/>
    </row>
    <row r="44" ht="49.5" customHeight="1">
      <c r="A44" s="2"/>
      <c r="B44" s="2"/>
      <c r="C44" s="2"/>
      <c r="D44" s="2"/>
      <c r="E44" s="11">
        <f>Y4</f>
        <v>16</v>
      </c>
      <c r="F44" s="2"/>
      <c r="G44" s="12">
        <f>W4</f>
        <v>7</v>
      </c>
      <c r="H44" s="13">
        <f>V4</f>
        <v>9</v>
      </c>
      <c r="I44" s="2"/>
      <c r="J44" s="14">
        <f>W4</f>
        <v>7</v>
      </c>
      <c r="K44" s="15">
        <f>V4</f>
        <v>9</v>
      </c>
      <c r="L44" s="2"/>
      <c r="M44" s="12">
        <f>W4</f>
        <v>7</v>
      </c>
      <c r="N44" s="15">
        <f>V4</f>
        <v>9</v>
      </c>
      <c r="P44" s="16">
        <f>W4</f>
        <v>7</v>
      </c>
      <c r="Q44" s="17">
        <f>V4</f>
        <v>9</v>
      </c>
      <c r="S44" s="18">
        <f>C43</f>
        <v>2</v>
      </c>
      <c r="T44" s="19"/>
      <c r="U44" s="20">
        <f>C43</f>
        <v>2</v>
      </c>
      <c r="V44" s="2"/>
      <c r="W44" s="2"/>
      <c r="X44" s="2"/>
      <c r="Y44" s="2"/>
    </row>
    <row r="45" ht="49.5" customHeight="1">
      <c r="A45" s="2"/>
      <c r="B45" s="2"/>
      <c r="C45" s="2"/>
      <c r="D45" s="2"/>
      <c r="S45" s="21">
        <f>C43</f>
        <v>2</v>
      </c>
      <c r="T45" s="22">
        <f>C43</f>
        <v>2</v>
      </c>
      <c r="U45" s="23">
        <f>C43</f>
        <v>2</v>
      </c>
      <c r="V45" s="24">
        <f>W46-X47</f>
        <v>-20</v>
      </c>
      <c r="W45" s="25">
        <f t="shared" ref="W45:X45" si="32">W46-W47</f>
        <v>-16</v>
      </c>
      <c r="X45" s="25">
        <f t="shared" si="32"/>
        <v>-16</v>
      </c>
      <c r="Y45" s="26">
        <f>X46-W47</f>
        <v>-12</v>
      </c>
    </row>
    <row r="46" ht="49.5" customHeight="1">
      <c r="F46" s="27" t="s">
        <v>42</v>
      </c>
      <c r="G46" s="28">
        <f>G43+H44</f>
        <v>8</v>
      </c>
      <c r="H46" s="29">
        <f>G44+H43</f>
        <v>8</v>
      </c>
      <c r="I46" s="30"/>
      <c r="J46" s="31">
        <f t="shared" ref="J46:K46" si="33">J43+J44</f>
        <v>6</v>
      </c>
      <c r="K46" s="29">
        <f t="shared" si="33"/>
        <v>10</v>
      </c>
      <c r="L46" s="30"/>
      <c r="M46" s="32">
        <f>M43+N43</f>
        <v>0</v>
      </c>
      <c r="N46" s="33">
        <f>M44+N44</f>
        <v>16</v>
      </c>
      <c r="P46" s="34">
        <f>E44</f>
        <v>16</v>
      </c>
      <c r="S46" s="2"/>
      <c r="T46" s="2"/>
      <c r="U46" s="2"/>
      <c r="V46" s="25">
        <f t="shared" ref="V46:V47" si="36">W46-X46</f>
        <v>-4</v>
      </c>
      <c r="W46" s="35">
        <f t="shared" ref="W46:X46" si="34">P47</f>
        <v>-18</v>
      </c>
      <c r="X46" s="35">
        <f t="shared" si="34"/>
        <v>-14</v>
      </c>
      <c r="Y46" s="36">
        <f t="shared" ref="Y46:Y47" si="38">X46-W46</f>
        <v>4</v>
      </c>
    </row>
    <row r="47" ht="49.5" customHeight="1">
      <c r="F47" s="37" t="s">
        <v>43</v>
      </c>
      <c r="G47" s="38">
        <f>G43-H44</f>
        <v>-10</v>
      </c>
      <c r="H47" s="39">
        <f>H43-G44</f>
        <v>-6</v>
      </c>
      <c r="I47" s="40"/>
      <c r="J47" s="32">
        <f t="shared" ref="J47:K47" si="35">J43-J44</f>
        <v>-8</v>
      </c>
      <c r="K47" s="41">
        <f t="shared" si="35"/>
        <v>-8</v>
      </c>
      <c r="L47" s="30"/>
      <c r="M47" s="38">
        <f>M43-N43</f>
        <v>-2</v>
      </c>
      <c r="N47" s="33">
        <f>M44-N44</f>
        <v>-2</v>
      </c>
      <c r="P47" s="42">
        <f>P43-Q44-Q43-P44</f>
        <v>-18</v>
      </c>
      <c r="Q47" s="43">
        <f>Q43-P44-P43-Q44</f>
        <v>-14</v>
      </c>
      <c r="S47" s="2"/>
      <c r="T47" s="2"/>
      <c r="U47" s="2"/>
      <c r="V47" s="44">
        <f t="shared" si="36"/>
        <v>-4</v>
      </c>
      <c r="W47" s="35">
        <f t="shared" ref="W47:X47" si="37">P48</f>
        <v>-2</v>
      </c>
      <c r="X47" s="35">
        <f t="shared" si="37"/>
        <v>2</v>
      </c>
      <c r="Y47" s="36">
        <f t="shared" si="38"/>
        <v>4</v>
      </c>
    </row>
    <row r="48" ht="49.5" customHeight="1">
      <c r="A48" s="2"/>
      <c r="B48" s="2"/>
      <c r="C48" s="2"/>
      <c r="D48" s="2"/>
      <c r="E48" s="2"/>
      <c r="F48" s="45"/>
      <c r="G48" s="46">
        <f>H44-G43</f>
        <v>10</v>
      </c>
      <c r="H48" s="47">
        <f>G44-H43</f>
        <v>6</v>
      </c>
      <c r="I48" s="48"/>
      <c r="J48" s="49">
        <f t="shared" ref="J48:K48" si="39">J44-J43</f>
        <v>8</v>
      </c>
      <c r="K48" s="50">
        <f t="shared" si="39"/>
        <v>8</v>
      </c>
      <c r="L48" s="48"/>
      <c r="M48" s="51">
        <f>N43-M43</f>
        <v>2</v>
      </c>
      <c r="N48" s="52">
        <f>N44-M44</f>
        <v>2</v>
      </c>
      <c r="O48" s="2"/>
      <c r="P48" s="53">
        <f>P44-Q43-Q44-P43</f>
        <v>-2</v>
      </c>
      <c r="Q48" s="54">
        <f>Q44-P44-P43-Q43</f>
        <v>2</v>
      </c>
      <c r="R48" s="2"/>
      <c r="S48" s="2"/>
      <c r="T48" s="2"/>
      <c r="U48" s="2"/>
      <c r="V48" s="25">
        <f>W47-X46</f>
        <v>12</v>
      </c>
      <c r="W48" s="55">
        <f t="shared" ref="W48:X48" si="40">W47-W46</f>
        <v>16</v>
      </c>
      <c r="X48" s="36">
        <f t="shared" si="40"/>
        <v>16</v>
      </c>
      <c r="Y48" s="56">
        <f>X47-W46</f>
        <v>20</v>
      </c>
    </row>
    <row r="49" ht="49.5" customHeight="1">
      <c r="A49" s="2"/>
      <c r="B49" s="2"/>
      <c r="C49" s="2"/>
      <c r="D49" s="2"/>
      <c r="X49" s="2"/>
      <c r="Y49" s="2"/>
    </row>
    <row r="50" ht="49.5" customHeight="1">
      <c r="A50" s="1" t="s">
        <v>8</v>
      </c>
      <c r="B50" s="1" t="s">
        <v>38</v>
      </c>
      <c r="C50" s="1">
        <f>T5</f>
        <v>3</v>
      </c>
      <c r="D50" s="2"/>
      <c r="E50" s="1" t="s">
        <v>13</v>
      </c>
      <c r="F50" s="1" t="s">
        <v>39</v>
      </c>
      <c r="G50" s="3">
        <f>U5</f>
        <v>-4</v>
      </c>
      <c r="H50" s="4">
        <f>X5</f>
        <v>-2</v>
      </c>
      <c r="J50" s="3">
        <f>U5</f>
        <v>-4</v>
      </c>
      <c r="K50" s="4">
        <f>X5</f>
        <v>-2</v>
      </c>
      <c r="L50" s="2"/>
      <c r="M50" s="3">
        <f>U5</f>
        <v>-4</v>
      </c>
      <c r="N50" s="5">
        <f>X5</f>
        <v>-2</v>
      </c>
      <c r="P50" s="6">
        <f>U5</f>
        <v>-4</v>
      </c>
      <c r="Q50" s="7">
        <f>X5</f>
        <v>-2</v>
      </c>
      <c r="R50" s="1" t="s">
        <v>39</v>
      </c>
      <c r="S50" s="8">
        <f>C50</f>
        <v>3</v>
      </c>
      <c r="T50" s="9">
        <f>C50</f>
        <v>3</v>
      </c>
      <c r="U50" s="10">
        <f>C50</f>
        <v>3</v>
      </c>
      <c r="V50" s="2"/>
      <c r="W50" s="2"/>
      <c r="X50" s="2"/>
      <c r="Y50" s="2"/>
    </row>
    <row r="51" ht="49.5" customHeight="1">
      <c r="A51" s="2"/>
      <c r="B51" s="2"/>
      <c r="C51" s="2"/>
      <c r="D51" s="2"/>
      <c r="E51" s="11">
        <f>Y5</f>
        <v>24</v>
      </c>
      <c r="F51" s="2"/>
      <c r="G51" s="12">
        <f>W5</f>
        <v>14</v>
      </c>
      <c r="H51" s="13">
        <f>V5</f>
        <v>16</v>
      </c>
      <c r="I51" s="2"/>
      <c r="J51" s="14">
        <f>W5</f>
        <v>14</v>
      </c>
      <c r="K51" s="15">
        <f>V5</f>
        <v>16</v>
      </c>
      <c r="L51" s="2"/>
      <c r="M51" s="12">
        <f>W5</f>
        <v>14</v>
      </c>
      <c r="N51" s="15">
        <f>V5</f>
        <v>16</v>
      </c>
      <c r="P51" s="16">
        <f>W5</f>
        <v>14</v>
      </c>
      <c r="Q51" s="17">
        <f>V5</f>
        <v>16</v>
      </c>
      <c r="S51" s="18">
        <f>C50</f>
        <v>3</v>
      </c>
      <c r="T51" s="19"/>
      <c r="U51" s="20">
        <f>C50</f>
        <v>3</v>
      </c>
      <c r="V51" s="2"/>
      <c r="W51" s="2"/>
      <c r="X51" s="2"/>
      <c r="Y51" s="2"/>
    </row>
    <row r="52" ht="49.5" customHeight="1">
      <c r="A52" s="2"/>
      <c r="B52" s="2"/>
      <c r="C52" s="2"/>
      <c r="D52" s="2"/>
      <c r="S52" s="21">
        <f>C50</f>
        <v>3</v>
      </c>
      <c r="T52" s="22">
        <f>C50</f>
        <v>3</v>
      </c>
      <c r="U52" s="23">
        <f>C50</f>
        <v>3</v>
      </c>
      <c r="V52" s="24">
        <f>W53-X54</f>
        <v>-40</v>
      </c>
      <c r="W52" s="25">
        <f t="shared" ref="W52:X52" si="41">W53-W54</f>
        <v>-36</v>
      </c>
      <c r="X52" s="25">
        <f t="shared" si="41"/>
        <v>-36</v>
      </c>
      <c r="Y52" s="26">
        <f>X53-W54</f>
        <v>-32</v>
      </c>
    </row>
    <row r="53" ht="49.5" customHeight="1">
      <c r="F53" s="27" t="s">
        <v>42</v>
      </c>
      <c r="G53" s="28">
        <f>G50+H51</f>
        <v>12</v>
      </c>
      <c r="H53" s="29">
        <f>G51+H50</f>
        <v>12</v>
      </c>
      <c r="I53" s="30"/>
      <c r="J53" s="31">
        <f t="shared" ref="J53:K53" si="42">J50+J51</f>
        <v>10</v>
      </c>
      <c r="K53" s="29">
        <f t="shared" si="42"/>
        <v>14</v>
      </c>
      <c r="L53" s="30"/>
      <c r="M53" s="32">
        <f>M50+N50</f>
        <v>-6</v>
      </c>
      <c r="N53" s="33">
        <f>M51+N51</f>
        <v>30</v>
      </c>
      <c r="P53" s="34">
        <f>E51</f>
        <v>24</v>
      </c>
      <c r="S53" s="2"/>
      <c r="T53" s="2"/>
      <c r="U53" s="2"/>
      <c r="V53" s="25">
        <f t="shared" ref="V53:V54" si="45">W53-X53</f>
        <v>-4</v>
      </c>
      <c r="W53" s="35">
        <f t="shared" ref="W53:X53" si="43">P54</f>
        <v>-32</v>
      </c>
      <c r="X53" s="35">
        <f t="shared" si="43"/>
        <v>-28</v>
      </c>
      <c r="Y53" s="36">
        <f t="shared" ref="Y53:Y54" si="47">X53-W53</f>
        <v>4</v>
      </c>
    </row>
    <row r="54" ht="49.5" customHeight="1">
      <c r="F54" s="37" t="s">
        <v>43</v>
      </c>
      <c r="G54" s="38">
        <f>G50-H51</f>
        <v>-20</v>
      </c>
      <c r="H54" s="39">
        <f>H50-G51</f>
        <v>-16</v>
      </c>
      <c r="I54" s="40"/>
      <c r="J54" s="32">
        <f t="shared" ref="J54:K54" si="44">J50-J51</f>
        <v>-18</v>
      </c>
      <c r="K54" s="41">
        <f t="shared" si="44"/>
        <v>-18</v>
      </c>
      <c r="L54" s="30"/>
      <c r="M54" s="38">
        <f>M50-N50</f>
        <v>-2</v>
      </c>
      <c r="N54" s="33">
        <f>M51-N51</f>
        <v>-2</v>
      </c>
      <c r="P54" s="42">
        <f>P50-Q51-Q50-P51</f>
        <v>-32</v>
      </c>
      <c r="Q54" s="43">
        <f>Q50-P51-P50-Q51</f>
        <v>-28</v>
      </c>
      <c r="S54" s="2"/>
      <c r="T54" s="2"/>
      <c r="U54" s="2"/>
      <c r="V54" s="44">
        <f t="shared" si="45"/>
        <v>-4</v>
      </c>
      <c r="W54" s="35">
        <f t="shared" ref="W54:X54" si="46">P55</f>
        <v>4</v>
      </c>
      <c r="X54" s="35">
        <f t="shared" si="46"/>
        <v>8</v>
      </c>
      <c r="Y54" s="36">
        <f t="shared" si="47"/>
        <v>4</v>
      </c>
    </row>
    <row r="55" ht="49.5" customHeight="1">
      <c r="A55" s="2"/>
      <c r="B55" s="2"/>
      <c r="C55" s="2"/>
      <c r="D55" s="2"/>
      <c r="E55" s="2"/>
      <c r="F55" s="45"/>
      <c r="G55" s="46">
        <f>H51-G50</f>
        <v>20</v>
      </c>
      <c r="H55" s="47">
        <f>G51-H50</f>
        <v>16</v>
      </c>
      <c r="I55" s="48"/>
      <c r="J55" s="49">
        <f t="shared" ref="J55:K55" si="48">J51-J50</f>
        <v>18</v>
      </c>
      <c r="K55" s="50">
        <f t="shared" si="48"/>
        <v>18</v>
      </c>
      <c r="L55" s="48"/>
      <c r="M55" s="51">
        <f>N50-M50</f>
        <v>2</v>
      </c>
      <c r="N55" s="52">
        <f>N51-M51</f>
        <v>2</v>
      </c>
      <c r="O55" s="2"/>
      <c r="P55" s="53">
        <f>P51-Q50-Q51-P50</f>
        <v>4</v>
      </c>
      <c r="Q55" s="54">
        <f>Q51-P51-P50-Q50</f>
        <v>8</v>
      </c>
      <c r="R55" s="2"/>
      <c r="S55" s="2"/>
      <c r="T55" s="2"/>
      <c r="U55" s="2"/>
      <c r="V55" s="25">
        <f>W54-X53</f>
        <v>32</v>
      </c>
      <c r="W55" s="55">
        <f t="shared" ref="W55:X55" si="49">W54-W53</f>
        <v>36</v>
      </c>
      <c r="X55" s="36">
        <f t="shared" si="49"/>
        <v>36</v>
      </c>
      <c r="Y55" s="56">
        <f>X54-W53</f>
        <v>40</v>
      </c>
    </row>
    <row r="56" ht="49.5" customHeight="1">
      <c r="A56" s="1"/>
      <c r="B56" s="1"/>
      <c r="C56" s="1"/>
      <c r="D56" s="2"/>
      <c r="E56" s="1"/>
      <c r="F56" s="1"/>
      <c r="G56" s="57"/>
      <c r="H56" s="58"/>
      <c r="J56" s="57"/>
      <c r="K56" s="58"/>
      <c r="L56" s="2"/>
      <c r="M56" s="57"/>
      <c r="N56" s="57"/>
      <c r="P56" s="59"/>
      <c r="Q56" s="59"/>
      <c r="R56" s="1"/>
      <c r="S56" s="60"/>
      <c r="T56" s="60"/>
      <c r="U56" s="60"/>
      <c r="V56" s="2"/>
      <c r="W56" s="2"/>
      <c r="X56" s="2"/>
      <c r="Y56" s="2"/>
    </row>
    <row r="57" ht="49.5" customHeight="1">
      <c r="A57" s="1" t="s">
        <v>8</v>
      </c>
      <c r="B57" s="1" t="s">
        <v>38</v>
      </c>
      <c r="C57" s="1">
        <f>T6</f>
        <v>4</v>
      </c>
      <c r="D57" s="2"/>
      <c r="E57" s="1" t="s">
        <v>13</v>
      </c>
      <c r="F57" s="1" t="s">
        <v>39</v>
      </c>
      <c r="G57" s="3">
        <f>U6</f>
        <v>-9</v>
      </c>
      <c r="H57" s="4">
        <f>X6</f>
        <v>-7</v>
      </c>
      <c r="J57" s="3">
        <f>U6</f>
        <v>-9</v>
      </c>
      <c r="K57" s="4">
        <f>X6</f>
        <v>-7</v>
      </c>
      <c r="L57" s="2"/>
      <c r="M57" s="3">
        <f>U6</f>
        <v>-9</v>
      </c>
      <c r="N57" s="5">
        <f>X6</f>
        <v>-7</v>
      </c>
      <c r="P57" s="6">
        <f>U6</f>
        <v>-9</v>
      </c>
      <c r="Q57" s="7">
        <f>X6</f>
        <v>-7</v>
      </c>
      <c r="R57" s="1" t="s">
        <v>39</v>
      </c>
      <c r="S57" s="8">
        <f>C57</f>
        <v>4</v>
      </c>
      <c r="T57" s="9">
        <f>C57</f>
        <v>4</v>
      </c>
      <c r="U57" s="10">
        <f>C57</f>
        <v>4</v>
      </c>
      <c r="V57" s="2"/>
      <c r="W57" s="2"/>
      <c r="X57" s="2"/>
      <c r="Y57" s="2"/>
    </row>
    <row r="58" ht="49.5" customHeight="1">
      <c r="A58" s="2"/>
      <c r="B58" s="2"/>
      <c r="C58" s="2"/>
      <c r="D58" s="2"/>
      <c r="E58" s="11">
        <f>Y6</f>
        <v>32</v>
      </c>
      <c r="F58" s="2"/>
      <c r="G58" s="12">
        <f>W6</f>
        <v>23</v>
      </c>
      <c r="H58" s="13">
        <f>V6</f>
        <v>25</v>
      </c>
      <c r="I58" s="2"/>
      <c r="J58" s="14">
        <f>W6</f>
        <v>23</v>
      </c>
      <c r="K58" s="15">
        <f>V6</f>
        <v>25</v>
      </c>
      <c r="L58" s="2"/>
      <c r="M58" s="12">
        <f>W6</f>
        <v>23</v>
      </c>
      <c r="N58" s="15">
        <f>V6</f>
        <v>25</v>
      </c>
      <c r="P58" s="16">
        <f>W6</f>
        <v>23</v>
      </c>
      <c r="Q58" s="17">
        <f>V6</f>
        <v>25</v>
      </c>
      <c r="S58" s="18">
        <f>C57</f>
        <v>4</v>
      </c>
      <c r="T58" s="19"/>
      <c r="U58" s="20">
        <f>C57</f>
        <v>4</v>
      </c>
      <c r="V58" s="2"/>
      <c r="W58" s="2"/>
      <c r="X58" s="2"/>
      <c r="Y58" s="2"/>
    </row>
    <row r="59" ht="49.5" customHeight="1">
      <c r="A59" s="2"/>
      <c r="B59" s="2"/>
      <c r="C59" s="2"/>
      <c r="D59" s="2"/>
      <c r="S59" s="21">
        <f>C57</f>
        <v>4</v>
      </c>
      <c r="T59" s="22">
        <f>C57</f>
        <v>4</v>
      </c>
      <c r="U59" s="23">
        <f>C57</f>
        <v>4</v>
      </c>
      <c r="V59" s="24">
        <f>W60-X61</f>
        <v>-68</v>
      </c>
      <c r="W59" s="25">
        <f t="shared" ref="W59:X59" si="50">W60-W61</f>
        <v>-64</v>
      </c>
      <c r="X59" s="25">
        <f t="shared" si="50"/>
        <v>-64</v>
      </c>
      <c r="Y59" s="26">
        <f>X60-W61</f>
        <v>-60</v>
      </c>
    </row>
    <row r="60" ht="49.5" customHeight="1">
      <c r="F60" s="27" t="s">
        <v>42</v>
      </c>
      <c r="G60" s="28">
        <f>G57+H58</f>
        <v>16</v>
      </c>
      <c r="H60" s="29">
        <f>G58+H57</f>
        <v>16</v>
      </c>
      <c r="I60" s="30"/>
      <c r="J60" s="31">
        <f t="shared" ref="J60:K60" si="51">J57+J58</f>
        <v>14</v>
      </c>
      <c r="K60" s="29">
        <f t="shared" si="51"/>
        <v>18</v>
      </c>
      <c r="L60" s="30"/>
      <c r="M60" s="32">
        <f>M57+N57</f>
        <v>-16</v>
      </c>
      <c r="N60" s="33">
        <f>M58+N58</f>
        <v>48</v>
      </c>
      <c r="P60" s="34">
        <f>E58</f>
        <v>32</v>
      </c>
      <c r="S60" s="2"/>
      <c r="T60" s="2"/>
      <c r="U60" s="2"/>
      <c r="V60" s="25">
        <f t="shared" ref="V60:V61" si="54">W60-X60</f>
        <v>-4</v>
      </c>
      <c r="W60" s="35">
        <f t="shared" ref="W60:X60" si="52">P61</f>
        <v>-50</v>
      </c>
      <c r="X60" s="35">
        <f t="shared" si="52"/>
        <v>-46</v>
      </c>
      <c r="Y60" s="36">
        <f t="shared" ref="Y60:Y61" si="56">X60-W60</f>
        <v>4</v>
      </c>
    </row>
    <row r="61" ht="49.5" customHeight="1">
      <c r="F61" s="37" t="s">
        <v>43</v>
      </c>
      <c r="G61" s="38">
        <f>G57-H58</f>
        <v>-34</v>
      </c>
      <c r="H61" s="39">
        <f>H57-G58</f>
        <v>-30</v>
      </c>
      <c r="I61" s="40"/>
      <c r="J61" s="32">
        <f t="shared" ref="J61:K61" si="53">J57-J58</f>
        <v>-32</v>
      </c>
      <c r="K61" s="41">
        <f t="shared" si="53"/>
        <v>-32</v>
      </c>
      <c r="L61" s="30"/>
      <c r="M61" s="38">
        <f>M57-N57</f>
        <v>-2</v>
      </c>
      <c r="N61" s="33">
        <f>M58-N58</f>
        <v>-2</v>
      </c>
      <c r="P61" s="42">
        <f>P57-Q58-Q57-P58</f>
        <v>-50</v>
      </c>
      <c r="Q61" s="43">
        <f>Q57-P58-P57-Q58</f>
        <v>-46</v>
      </c>
      <c r="S61" s="2"/>
      <c r="T61" s="2"/>
      <c r="U61" s="2"/>
      <c r="V61" s="44">
        <f t="shared" si="54"/>
        <v>-4</v>
      </c>
      <c r="W61" s="35">
        <f t="shared" ref="W61:X61" si="55">P62</f>
        <v>14</v>
      </c>
      <c r="X61" s="35">
        <f t="shared" si="55"/>
        <v>18</v>
      </c>
      <c r="Y61" s="36">
        <f t="shared" si="56"/>
        <v>4</v>
      </c>
    </row>
    <row r="62" ht="49.5" customHeight="1">
      <c r="A62" s="2"/>
      <c r="B62" s="2"/>
      <c r="C62" s="2"/>
      <c r="D62" s="2"/>
      <c r="E62" s="2"/>
      <c r="F62" s="45"/>
      <c r="G62" s="46">
        <f>H58-G57</f>
        <v>34</v>
      </c>
      <c r="H62" s="47">
        <f>G58-H57</f>
        <v>30</v>
      </c>
      <c r="I62" s="48"/>
      <c r="J62" s="49">
        <f t="shared" ref="J62:K62" si="57">J58-J57</f>
        <v>32</v>
      </c>
      <c r="K62" s="50">
        <f t="shared" si="57"/>
        <v>32</v>
      </c>
      <c r="L62" s="48"/>
      <c r="M62" s="51">
        <f>N57-M57</f>
        <v>2</v>
      </c>
      <c r="N62" s="52">
        <f>N58-M58</f>
        <v>2</v>
      </c>
      <c r="O62" s="2"/>
      <c r="P62" s="53">
        <f>P58-Q57-Q58-P57</f>
        <v>14</v>
      </c>
      <c r="Q62" s="54">
        <f>Q58-P58-P57-Q57</f>
        <v>18</v>
      </c>
      <c r="R62" s="2"/>
      <c r="S62" s="2"/>
      <c r="T62" s="2"/>
      <c r="U62" s="2"/>
      <c r="V62" s="25">
        <f>W61-X60</f>
        <v>60</v>
      </c>
      <c r="W62" s="55">
        <f t="shared" ref="W62:X62" si="58">W61-W60</f>
        <v>64</v>
      </c>
      <c r="X62" s="36">
        <f t="shared" si="58"/>
        <v>64</v>
      </c>
      <c r="Y62" s="56">
        <f>X61-W60</f>
        <v>68</v>
      </c>
    </row>
    <row r="63" ht="49.5" customHeight="1">
      <c r="A63" s="2"/>
      <c r="B63" s="2"/>
      <c r="C63" s="2"/>
      <c r="D63" s="2"/>
      <c r="X63" s="2"/>
      <c r="Y63" s="2"/>
    </row>
    <row r="64" ht="49.5" customHeight="1">
      <c r="A64" s="1" t="s">
        <v>8</v>
      </c>
      <c r="B64" s="1" t="s">
        <v>38</v>
      </c>
      <c r="C64" s="1">
        <f>T7</f>
        <v>5</v>
      </c>
      <c r="D64" s="2"/>
      <c r="E64" s="1" t="s">
        <v>13</v>
      </c>
      <c r="F64" s="1" t="s">
        <v>39</v>
      </c>
      <c r="G64" s="3">
        <f>U7</f>
        <v>-16</v>
      </c>
      <c r="H64" s="4">
        <f>X7</f>
        <v>-14</v>
      </c>
      <c r="J64" s="3">
        <f>U7</f>
        <v>-16</v>
      </c>
      <c r="K64" s="4">
        <f>X7</f>
        <v>-14</v>
      </c>
      <c r="L64" s="2"/>
      <c r="M64" s="3">
        <f>U7</f>
        <v>-16</v>
      </c>
      <c r="N64" s="5">
        <f>X7</f>
        <v>-14</v>
      </c>
      <c r="P64" s="6">
        <f>U7</f>
        <v>-16</v>
      </c>
      <c r="Q64" s="7">
        <f>X7</f>
        <v>-14</v>
      </c>
      <c r="R64" s="1" t="s">
        <v>39</v>
      </c>
      <c r="S64" s="8">
        <f>C64</f>
        <v>5</v>
      </c>
      <c r="T64" s="9">
        <f>C64</f>
        <v>5</v>
      </c>
      <c r="U64" s="10">
        <f>C64</f>
        <v>5</v>
      </c>
      <c r="V64" s="2"/>
      <c r="W64" s="2"/>
      <c r="X64" s="2"/>
      <c r="Y64" s="2"/>
    </row>
    <row r="65" ht="49.5" customHeight="1">
      <c r="A65" s="2"/>
      <c r="B65" s="2"/>
      <c r="C65" s="2"/>
      <c r="D65" s="2"/>
      <c r="E65" s="11">
        <f>Y7</f>
        <v>40</v>
      </c>
      <c r="F65" s="2"/>
      <c r="G65" s="12">
        <f>W7</f>
        <v>34</v>
      </c>
      <c r="H65" s="13">
        <f>V7</f>
        <v>36</v>
      </c>
      <c r="I65" s="2"/>
      <c r="J65" s="14">
        <f>W7</f>
        <v>34</v>
      </c>
      <c r="K65" s="15">
        <f>V7</f>
        <v>36</v>
      </c>
      <c r="L65" s="2"/>
      <c r="M65" s="12">
        <f>W7</f>
        <v>34</v>
      </c>
      <c r="N65" s="15">
        <f>V7</f>
        <v>36</v>
      </c>
      <c r="P65" s="16">
        <f>W7</f>
        <v>34</v>
      </c>
      <c r="Q65" s="17">
        <f>V7</f>
        <v>36</v>
      </c>
      <c r="S65" s="18">
        <f>C64</f>
        <v>5</v>
      </c>
      <c r="T65" s="19"/>
      <c r="U65" s="20">
        <f>C64</f>
        <v>5</v>
      </c>
      <c r="V65" s="2"/>
      <c r="W65" s="2"/>
      <c r="X65" s="2"/>
      <c r="Y65" s="2"/>
    </row>
    <row r="66" ht="49.5" customHeight="1">
      <c r="A66" s="2"/>
      <c r="B66" s="2"/>
      <c r="C66" s="2"/>
      <c r="D66" s="2"/>
      <c r="S66" s="21">
        <f>C64</f>
        <v>5</v>
      </c>
      <c r="T66" s="22">
        <f>C64</f>
        <v>5</v>
      </c>
      <c r="U66" s="23">
        <f>C64</f>
        <v>5</v>
      </c>
      <c r="V66" s="24">
        <f>W67-X68</f>
        <v>-104</v>
      </c>
      <c r="W66" s="25">
        <f t="shared" ref="W66:X66" si="59">W67-W68</f>
        <v>-100</v>
      </c>
      <c r="X66" s="25">
        <f t="shared" si="59"/>
        <v>-100</v>
      </c>
      <c r="Y66" s="26">
        <f>X67-W68</f>
        <v>-96</v>
      </c>
    </row>
    <row r="67" ht="49.5" customHeight="1">
      <c r="F67" s="27" t="s">
        <v>42</v>
      </c>
      <c r="G67" s="28">
        <f>G64+H65</f>
        <v>20</v>
      </c>
      <c r="H67" s="29">
        <f>G65+H64</f>
        <v>20</v>
      </c>
      <c r="I67" s="30"/>
      <c r="J67" s="31">
        <f t="shared" ref="J67:K67" si="60">J64+J65</f>
        <v>18</v>
      </c>
      <c r="K67" s="29">
        <f t="shared" si="60"/>
        <v>22</v>
      </c>
      <c r="L67" s="30"/>
      <c r="M67" s="32">
        <f>M64+N64</f>
        <v>-30</v>
      </c>
      <c r="N67" s="33">
        <f>M65+N65</f>
        <v>70</v>
      </c>
      <c r="P67" s="34">
        <f>E65</f>
        <v>40</v>
      </c>
      <c r="S67" s="2"/>
      <c r="T67" s="2"/>
      <c r="U67" s="2"/>
      <c r="V67" s="25">
        <f t="shared" ref="V67:V68" si="63">W67-X67</f>
        <v>-4</v>
      </c>
      <c r="W67" s="35">
        <f t="shared" ref="W67:X67" si="61">P68</f>
        <v>-72</v>
      </c>
      <c r="X67" s="35">
        <f t="shared" si="61"/>
        <v>-68</v>
      </c>
      <c r="Y67" s="36">
        <f t="shared" ref="Y67:Y68" si="65">X67-W67</f>
        <v>4</v>
      </c>
    </row>
    <row r="68" ht="49.5" customHeight="1">
      <c r="F68" s="37" t="s">
        <v>43</v>
      </c>
      <c r="G68" s="38">
        <f>G64-H65</f>
        <v>-52</v>
      </c>
      <c r="H68" s="39">
        <f>H64-G65</f>
        <v>-48</v>
      </c>
      <c r="I68" s="40"/>
      <c r="J68" s="32">
        <f t="shared" ref="J68:K68" si="62">J64-J65</f>
        <v>-50</v>
      </c>
      <c r="K68" s="41">
        <f t="shared" si="62"/>
        <v>-50</v>
      </c>
      <c r="L68" s="30"/>
      <c r="M68" s="38">
        <f>M64-N64</f>
        <v>-2</v>
      </c>
      <c r="N68" s="33">
        <f>M65-N65</f>
        <v>-2</v>
      </c>
      <c r="P68" s="42">
        <f>P64-Q65-Q64-P65</f>
        <v>-72</v>
      </c>
      <c r="Q68" s="43">
        <f>Q64-P65-P64-Q65</f>
        <v>-68</v>
      </c>
      <c r="S68" s="2"/>
      <c r="T68" s="2"/>
      <c r="U68" s="2"/>
      <c r="V68" s="44">
        <f t="shared" si="63"/>
        <v>-4</v>
      </c>
      <c r="W68" s="35">
        <f t="shared" ref="W68:X68" si="64">P69</f>
        <v>28</v>
      </c>
      <c r="X68" s="35">
        <f t="shared" si="64"/>
        <v>32</v>
      </c>
      <c r="Y68" s="36">
        <f t="shared" si="65"/>
        <v>4</v>
      </c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ht="49.5" customHeight="1">
      <c r="A69" s="2"/>
      <c r="B69" s="2"/>
      <c r="C69" s="2"/>
      <c r="D69" s="2"/>
      <c r="E69" s="2"/>
      <c r="F69" s="45"/>
      <c r="G69" s="46">
        <f>H65-G64</f>
        <v>52</v>
      </c>
      <c r="H69" s="47">
        <f>G65-H64</f>
        <v>48</v>
      </c>
      <c r="I69" s="48"/>
      <c r="J69" s="49">
        <f t="shared" ref="J69:K69" si="66">J65-J64</f>
        <v>50</v>
      </c>
      <c r="K69" s="50">
        <f t="shared" si="66"/>
        <v>50</v>
      </c>
      <c r="L69" s="48"/>
      <c r="M69" s="51">
        <f>N64-M64</f>
        <v>2</v>
      </c>
      <c r="N69" s="52">
        <f>N65-M65</f>
        <v>2</v>
      </c>
      <c r="O69" s="2"/>
      <c r="P69" s="53">
        <f>P65-Q64-Q65-P64</f>
        <v>28</v>
      </c>
      <c r="Q69" s="54">
        <f>Q65-P65-P64-Q64</f>
        <v>32</v>
      </c>
      <c r="R69" s="2"/>
      <c r="S69" s="2"/>
      <c r="T69" s="2"/>
      <c r="U69" s="2"/>
      <c r="V69" s="25">
        <f>W68-X67</f>
        <v>96</v>
      </c>
      <c r="W69" s="55">
        <f t="shared" ref="W69:X69" si="67">W68-W67</f>
        <v>100</v>
      </c>
      <c r="X69" s="36">
        <f t="shared" si="67"/>
        <v>100</v>
      </c>
      <c r="Y69" s="56">
        <f>X68-W67</f>
        <v>104</v>
      </c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ht="4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ht="49.5" customHeight="1">
      <c r="A71" s="1" t="s">
        <v>8</v>
      </c>
      <c r="B71" s="1" t="s">
        <v>38</v>
      </c>
      <c r="C71" s="1">
        <f>T8</f>
        <v>6</v>
      </c>
      <c r="D71" s="2"/>
      <c r="E71" s="1" t="s">
        <v>13</v>
      </c>
      <c r="F71" s="1" t="s">
        <v>39</v>
      </c>
      <c r="G71" s="3">
        <f>U8</f>
        <v>-25</v>
      </c>
      <c r="H71" s="4">
        <f>X8</f>
        <v>-23</v>
      </c>
      <c r="J71" s="3">
        <f>U8</f>
        <v>-25</v>
      </c>
      <c r="K71" s="4">
        <f>X8</f>
        <v>-23</v>
      </c>
      <c r="L71" s="2"/>
      <c r="M71" s="3">
        <f>U8</f>
        <v>-25</v>
      </c>
      <c r="N71" s="5">
        <f>X8</f>
        <v>-23</v>
      </c>
      <c r="P71" s="6">
        <f>U8</f>
        <v>-25</v>
      </c>
      <c r="Q71" s="7">
        <f>X8</f>
        <v>-23</v>
      </c>
      <c r="R71" s="1" t="s">
        <v>39</v>
      </c>
      <c r="S71" s="8">
        <f>C71</f>
        <v>6</v>
      </c>
      <c r="T71" s="9">
        <f>C71</f>
        <v>6</v>
      </c>
      <c r="U71" s="10">
        <f>C71</f>
        <v>6</v>
      </c>
      <c r="V71" s="2"/>
      <c r="W71" s="2"/>
      <c r="X71" s="2"/>
      <c r="Y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ht="49.5" customHeight="1">
      <c r="A72" s="2"/>
      <c r="B72" s="2"/>
      <c r="C72" s="2"/>
      <c r="D72" s="2"/>
      <c r="E72" s="11">
        <f>Y8</f>
        <v>48</v>
      </c>
      <c r="F72" s="2"/>
      <c r="G72" s="12">
        <f>W8</f>
        <v>47</v>
      </c>
      <c r="H72" s="13">
        <f>V8</f>
        <v>49</v>
      </c>
      <c r="I72" s="2"/>
      <c r="J72" s="14">
        <f>W8</f>
        <v>47</v>
      </c>
      <c r="K72" s="15">
        <f>V8</f>
        <v>49</v>
      </c>
      <c r="L72" s="2"/>
      <c r="M72" s="12">
        <f>W8</f>
        <v>47</v>
      </c>
      <c r="N72" s="15">
        <f>V8</f>
        <v>49</v>
      </c>
      <c r="P72" s="16">
        <f>W8</f>
        <v>47</v>
      </c>
      <c r="Q72" s="17">
        <f>V8</f>
        <v>49</v>
      </c>
      <c r="S72" s="18">
        <f>C71</f>
        <v>6</v>
      </c>
      <c r="T72" s="19"/>
      <c r="U72" s="20">
        <f>C71</f>
        <v>6</v>
      </c>
      <c r="V72" s="2"/>
      <c r="W72" s="2"/>
      <c r="X72" s="2"/>
      <c r="Y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ht="49.5" customHeight="1">
      <c r="A73" s="2"/>
      <c r="B73" s="2"/>
      <c r="C73" s="2"/>
      <c r="D73" s="2"/>
      <c r="S73" s="21">
        <f>C71</f>
        <v>6</v>
      </c>
      <c r="T73" s="22">
        <f>C71</f>
        <v>6</v>
      </c>
      <c r="U73" s="23">
        <f>C71</f>
        <v>6</v>
      </c>
      <c r="V73" s="24">
        <f>W74-X75</f>
        <v>-148</v>
      </c>
      <c r="W73" s="25">
        <f t="shared" ref="W73:X73" si="68">W74-W75</f>
        <v>-144</v>
      </c>
      <c r="X73" s="25">
        <f t="shared" si="68"/>
        <v>-144</v>
      </c>
      <c r="Y73" s="26">
        <f>X74-W75</f>
        <v>-140</v>
      </c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ht="49.5" customHeight="1">
      <c r="F74" s="27" t="s">
        <v>42</v>
      </c>
      <c r="G74" s="28">
        <f>G71+H72</f>
        <v>24</v>
      </c>
      <c r="H74" s="29">
        <f>G72+H71</f>
        <v>24</v>
      </c>
      <c r="I74" s="30"/>
      <c r="J74" s="31">
        <f t="shared" ref="J74:K74" si="69">J71+J72</f>
        <v>22</v>
      </c>
      <c r="K74" s="29">
        <f t="shared" si="69"/>
        <v>26</v>
      </c>
      <c r="L74" s="30"/>
      <c r="M74" s="32">
        <f>M71+N71</f>
        <v>-48</v>
      </c>
      <c r="N74" s="33">
        <f>M72+N72</f>
        <v>96</v>
      </c>
      <c r="P74" s="34">
        <f>E72</f>
        <v>48</v>
      </c>
      <c r="S74" s="2"/>
      <c r="T74" s="2"/>
      <c r="U74" s="2"/>
      <c r="V74" s="25">
        <f t="shared" ref="V74:V75" si="72">W74-X74</f>
        <v>-4</v>
      </c>
      <c r="W74" s="35">
        <f t="shared" ref="W74:X74" si="70">P75</f>
        <v>-98</v>
      </c>
      <c r="X74" s="35">
        <f t="shared" si="70"/>
        <v>-94</v>
      </c>
      <c r="Y74" s="36">
        <f t="shared" ref="Y74:Y75" si="74">X74-W74</f>
        <v>4</v>
      </c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ht="49.5" customHeight="1">
      <c r="F75" s="37" t="s">
        <v>43</v>
      </c>
      <c r="G75" s="38">
        <f>G71-H72</f>
        <v>-74</v>
      </c>
      <c r="H75" s="39">
        <f>H71-G72</f>
        <v>-70</v>
      </c>
      <c r="I75" s="40"/>
      <c r="J75" s="32">
        <f t="shared" ref="J75:K75" si="71">J71-J72</f>
        <v>-72</v>
      </c>
      <c r="K75" s="41">
        <f t="shared" si="71"/>
        <v>-72</v>
      </c>
      <c r="L75" s="30"/>
      <c r="M75" s="38">
        <f>M71-N71</f>
        <v>-2</v>
      </c>
      <c r="N75" s="33">
        <f>M72-N72</f>
        <v>-2</v>
      </c>
      <c r="P75" s="42">
        <f>P71-Q72-Q71-P72</f>
        <v>-98</v>
      </c>
      <c r="Q75" s="43">
        <f>Q71-P72-P71-Q72</f>
        <v>-94</v>
      </c>
      <c r="S75" s="2"/>
      <c r="T75" s="2"/>
      <c r="U75" s="2"/>
      <c r="V75" s="44">
        <f t="shared" si="72"/>
        <v>-4</v>
      </c>
      <c r="W75" s="35">
        <f t="shared" ref="W75:X75" si="73">P76</f>
        <v>46</v>
      </c>
      <c r="X75" s="35">
        <f t="shared" si="73"/>
        <v>50</v>
      </c>
      <c r="Y75" s="36">
        <f t="shared" si="74"/>
        <v>4</v>
      </c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ht="49.5" customHeight="1">
      <c r="A76" s="2"/>
      <c r="B76" s="2"/>
      <c r="C76" s="2"/>
      <c r="D76" s="2"/>
      <c r="E76" s="2"/>
      <c r="F76" s="45"/>
      <c r="G76" s="46">
        <f>H72-G71</f>
        <v>74</v>
      </c>
      <c r="H76" s="47">
        <f>G72-H71</f>
        <v>70</v>
      </c>
      <c r="I76" s="48"/>
      <c r="J76" s="49">
        <f t="shared" ref="J76:K76" si="75">J72-J71</f>
        <v>72</v>
      </c>
      <c r="K76" s="50">
        <f t="shared" si="75"/>
        <v>72</v>
      </c>
      <c r="L76" s="48"/>
      <c r="M76" s="51">
        <f>N71-M71</f>
        <v>2</v>
      </c>
      <c r="N76" s="52">
        <f>N72-M72</f>
        <v>2</v>
      </c>
      <c r="O76" s="2"/>
      <c r="P76" s="53">
        <f>P72-Q71-Q72-P71</f>
        <v>46</v>
      </c>
      <c r="Q76" s="54">
        <f>Q72-P72-P71-Q71</f>
        <v>50</v>
      </c>
      <c r="R76" s="2"/>
      <c r="S76" s="2"/>
      <c r="T76" s="2"/>
      <c r="U76" s="2"/>
      <c r="V76" s="25">
        <f>W75-X74</f>
        <v>140</v>
      </c>
      <c r="W76" s="55">
        <f t="shared" ref="W76:X76" si="76">W75-W74</f>
        <v>144</v>
      </c>
      <c r="X76" s="36">
        <f t="shared" si="76"/>
        <v>144</v>
      </c>
      <c r="Y76" s="56">
        <f>X75-W74</f>
        <v>148</v>
      </c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ht="49.5" customHeight="1">
      <c r="A77" s="2"/>
      <c r="B77" s="2"/>
      <c r="C77" s="2"/>
      <c r="D77" s="2"/>
      <c r="X77" s="2"/>
      <c r="Y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ht="49.5" customHeight="1">
      <c r="A78" s="1" t="s">
        <v>8</v>
      </c>
      <c r="B78" s="1" t="s">
        <v>38</v>
      </c>
      <c r="C78" s="1">
        <f>T9</f>
        <v>7</v>
      </c>
      <c r="D78" s="2"/>
      <c r="E78" s="1" t="s">
        <v>13</v>
      </c>
      <c r="F78" s="1" t="s">
        <v>39</v>
      </c>
      <c r="G78" s="3">
        <f>U9</f>
        <v>-36</v>
      </c>
      <c r="H78" s="4">
        <f>X9</f>
        <v>-34</v>
      </c>
      <c r="J78" s="3">
        <f>U9</f>
        <v>-36</v>
      </c>
      <c r="K78" s="4">
        <f>X9</f>
        <v>-34</v>
      </c>
      <c r="L78" s="2"/>
      <c r="M78" s="3">
        <f>U9</f>
        <v>-36</v>
      </c>
      <c r="N78" s="5">
        <f>X9</f>
        <v>-34</v>
      </c>
      <c r="P78" s="6">
        <f>U9</f>
        <v>-36</v>
      </c>
      <c r="Q78" s="7">
        <f>X9</f>
        <v>-34</v>
      </c>
      <c r="R78" s="1" t="s">
        <v>39</v>
      </c>
      <c r="S78" s="8">
        <f>C78</f>
        <v>7</v>
      </c>
      <c r="T78" s="9">
        <f>C78</f>
        <v>7</v>
      </c>
      <c r="U78" s="10">
        <f>C78</f>
        <v>7</v>
      </c>
      <c r="V78" s="2"/>
      <c r="W78" s="2"/>
      <c r="X78" s="2"/>
      <c r="Y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ht="49.5" customHeight="1">
      <c r="A79" s="2"/>
      <c r="B79" s="2"/>
      <c r="C79" s="2"/>
      <c r="D79" s="2"/>
      <c r="E79" s="11">
        <f>Y9</f>
        <v>56</v>
      </c>
      <c r="F79" s="2"/>
      <c r="G79" s="12">
        <f>W9</f>
        <v>62</v>
      </c>
      <c r="H79" s="13">
        <f>V9</f>
        <v>64</v>
      </c>
      <c r="I79" s="2"/>
      <c r="J79" s="14">
        <f>W9</f>
        <v>62</v>
      </c>
      <c r="K79" s="15">
        <f>V9</f>
        <v>64</v>
      </c>
      <c r="L79" s="2"/>
      <c r="M79" s="12">
        <f>W9</f>
        <v>62</v>
      </c>
      <c r="N79" s="15">
        <f>V9</f>
        <v>64</v>
      </c>
      <c r="P79" s="16">
        <f>W9</f>
        <v>62</v>
      </c>
      <c r="Q79" s="17">
        <f>V9</f>
        <v>64</v>
      </c>
      <c r="S79" s="18">
        <f>C78</f>
        <v>7</v>
      </c>
      <c r="T79" s="19"/>
      <c r="U79" s="20">
        <f>C78</f>
        <v>7</v>
      </c>
      <c r="V79" s="2"/>
      <c r="W79" s="2"/>
      <c r="X79" s="2"/>
      <c r="Y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ht="49.5" customHeight="1">
      <c r="A80" s="2"/>
      <c r="B80" s="2"/>
      <c r="C80" s="2"/>
      <c r="D80" s="2"/>
      <c r="S80" s="21">
        <f>C78</f>
        <v>7</v>
      </c>
      <c r="T80" s="22">
        <f>C78</f>
        <v>7</v>
      </c>
      <c r="U80" s="23">
        <f>C78</f>
        <v>7</v>
      </c>
      <c r="V80" s="24">
        <f>W81-X82</f>
        <v>-200</v>
      </c>
      <c r="W80" s="25">
        <f t="shared" ref="W80:X80" si="77">W81-W82</f>
        <v>-196</v>
      </c>
      <c r="X80" s="25">
        <f t="shared" si="77"/>
        <v>-196</v>
      </c>
      <c r="Y80" s="26">
        <f>X81-W82</f>
        <v>-192</v>
      </c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ht="49.5" customHeight="1">
      <c r="F81" s="27" t="s">
        <v>42</v>
      </c>
      <c r="G81" s="28">
        <f>G78+H79</f>
        <v>28</v>
      </c>
      <c r="H81" s="29">
        <f>G79+H78</f>
        <v>28</v>
      </c>
      <c r="I81" s="30"/>
      <c r="J81" s="31">
        <f t="shared" ref="J81:K81" si="78">J78+J79</f>
        <v>26</v>
      </c>
      <c r="K81" s="29">
        <f t="shared" si="78"/>
        <v>30</v>
      </c>
      <c r="L81" s="30"/>
      <c r="M81" s="32">
        <f>M78+N78</f>
        <v>-70</v>
      </c>
      <c r="N81" s="33">
        <f>M79+N79</f>
        <v>126</v>
      </c>
      <c r="P81" s="34">
        <f>E79</f>
        <v>56</v>
      </c>
      <c r="S81" s="2"/>
      <c r="T81" s="2"/>
      <c r="U81" s="2"/>
      <c r="V81" s="25">
        <f t="shared" ref="V81:V82" si="81">W81-X81</f>
        <v>-4</v>
      </c>
      <c r="W81" s="35">
        <f t="shared" ref="W81:X81" si="79">P82</f>
        <v>-128</v>
      </c>
      <c r="X81" s="35">
        <f t="shared" si="79"/>
        <v>-124</v>
      </c>
      <c r="Y81" s="36">
        <f t="shared" ref="Y81:Y82" si="83">X81-W81</f>
        <v>4</v>
      </c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ht="49.5" customHeight="1">
      <c r="F82" s="37" t="s">
        <v>43</v>
      </c>
      <c r="G82" s="38">
        <f>G78-H79</f>
        <v>-100</v>
      </c>
      <c r="H82" s="39">
        <f>H78-G79</f>
        <v>-96</v>
      </c>
      <c r="I82" s="40"/>
      <c r="J82" s="32">
        <f t="shared" ref="J82:K82" si="80">J78-J79</f>
        <v>-98</v>
      </c>
      <c r="K82" s="41">
        <f t="shared" si="80"/>
        <v>-98</v>
      </c>
      <c r="L82" s="30"/>
      <c r="M82" s="38">
        <f>M78-N78</f>
        <v>-2</v>
      </c>
      <c r="N82" s="33">
        <f>M79-N79</f>
        <v>-2</v>
      </c>
      <c r="P82" s="42">
        <f>P78-Q79-Q78-P79</f>
        <v>-128</v>
      </c>
      <c r="Q82" s="43">
        <f>Q78-P79-P78-Q79</f>
        <v>-124</v>
      </c>
      <c r="S82" s="2"/>
      <c r="T82" s="2"/>
      <c r="U82" s="2"/>
      <c r="V82" s="44">
        <f t="shared" si="81"/>
        <v>-4</v>
      </c>
      <c r="W82" s="35">
        <f t="shared" ref="W82:X82" si="82">P83</f>
        <v>68</v>
      </c>
      <c r="X82" s="35">
        <f t="shared" si="82"/>
        <v>72</v>
      </c>
      <c r="Y82" s="36">
        <f t="shared" si="83"/>
        <v>4</v>
      </c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ht="49.5" customHeight="1">
      <c r="A83" s="2"/>
      <c r="B83" s="2"/>
      <c r="C83" s="2"/>
      <c r="D83" s="2"/>
      <c r="E83" s="2"/>
      <c r="F83" s="45"/>
      <c r="G83" s="46">
        <f>H79-G78</f>
        <v>100</v>
      </c>
      <c r="H83" s="47">
        <f>G79-H78</f>
        <v>96</v>
      </c>
      <c r="I83" s="48"/>
      <c r="J83" s="49">
        <f t="shared" ref="J83:K83" si="84">J79-J78</f>
        <v>98</v>
      </c>
      <c r="K83" s="50">
        <f t="shared" si="84"/>
        <v>98</v>
      </c>
      <c r="L83" s="48"/>
      <c r="M83" s="51">
        <f>N78-M78</f>
        <v>2</v>
      </c>
      <c r="N83" s="52">
        <f>N79-M79</f>
        <v>2</v>
      </c>
      <c r="O83" s="2"/>
      <c r="P83" s="53">
        <f>P79-Q78-Q79-P78</f>
        <v>68</v>
      </c>
      <c r="Q83" s="54">
        <f>Q79-P79-P78-Q78</f>
        <v>72</v>
      </c>
      <c r="R83" s="2"/>
      <c r="S83" s="2"/>
      <c r="T83" s="2"/>
      <c r="U83" s="2"/>
      <c r="V83" s="25">
        <f>W82-X81</f>
        <v>192</v>
      </c>
      <c r="W83" s="55">
        <f t="shared" ref="W83:X83" si="85">W82-W81</f>
        <v>196</v>
      </c>
      <c r="X83" s="36">
        <f t="shared" si="85"/>
        <v>196</v>
      </c>
      <c r="Y83" s="56">
        <f>X82-W81</f>
        <v>200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ht="49.5" customHeight="1"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ht="49.5" customHeight="1">
      <c r="A85" s="1" t="s">
        <v>8</v>
      </c>
      <c r="B85" s="1" t="s">
        <v>38</v>
      </c>
      <c r="C85" s="1">
        <f>T10</f>
        <v>8</v>
      </c>
      <c r="D85" s="2"/>
      <c r="E85" s="1" t="s">
        <v>13</v>
      </c>
      <c r="F85" s="1" t="s">
        <v>39</v>
      </c>
      <c r="G85" s="3">
        <f>U10</f>
        <v>-49</v>
      </c>
      <c r="H85" s="4">
        <f>X10</f>
        <v>-47</v>
      </c>
      <c r="J85" s="3">
        <f>U10</f>
        <v>-49</v>
      </c>
      <c r="K85" s="4">
        <f>X10</f>
        <v>-47</v>
      </c>
      <c r="L85" s="2"/>
      <c r="M85" s="3">
        <f>U10</f>
        <v>-49</v>
      </c>
      <c r="N85" s="5">
        <f>X10</f>
        <v>-47</v>
      </c>
      <c r="P85" s="6">
        <f>U10</f>
        <v>-49</v>
      </c>
      <c r="Q85" s="7">
        <f>X10</f>
        <v>-47</v>
      </c>
      <c r="R85" s="1" t="s">
        <v>39</v>
      </c>
      <c r="S85" s="8">
        <f>C85</f>
        <v>8</v>
      </c>
      <c r="T85" s="9">
        <f>C85</f>
        <v>8</v>
      </c>
      <c r="U85" s="10">
        <f>C85</f>
        <v>8</v>
      </c>
      <c r="V85" s="2"/>
      <c r="W85" s="2"/>
      <c r="X85" s="2"/>
      <c r="Y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ht="49.5" customHeight="1">
      <c r="A86" s="2"/>
      <c r="B86" s="2"/>
      <c r="C86" s="2"/>
      <c r="D86" s="2"/>
      <c r="E86" s="11">
        <f>Y10</f>
        <v>64</v>
      </c>
      <c r="F86" s="2"/>
      <c r="G86" s="12">
        <f>W10</f>
        <v>79</v>
      </c>
      <c r="H86" s="13">
        <f>V10</f>
        <v>81</v>
      </c>
      <c r="I86" s="2"/>
      <c r="J86" s="14">
        <f>W10</f>
        <v>79</v>
      </c>
      <c r="K86" s="15">
        <f>V10</f>
        <v>81</v>
      </c>
      <c r="L86" s="2"/>
      <c r="M86" s="12">
        <f>W10</f>
        <v>79</v>
      </c>
      <c r="N86" s="15">
        <f>V10</f>
        <v>81</v>
      </c>
      <c r="P86" s="16">
        <f>W10</f>
        <v>79</v>
      </c>
      <c r="Q86" s="17">
        <f>V10</f>
        <v>81</v>
      </c>
      <c r="S86" s="18">
        <f>C85</f>
        <v>8</v>
      </c>
      <c r="T86" s="19"/>
      <c r="U86" s="20">
        <f>C85</f>
        <v>8</v>
      </c>
      <c r="V86" s="2"/>
      <c r="W86" s="2"/>
      <c r="X86" s="2"/>
      <c r="Y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ht="49.5" customHeight="1">
      <c r="A87" s="2"/>
      <c r="B87" s="2"/>
      <c r="C87" s="2"/>
      <c r="D87" s="2"/>
      <c r="S87" s="21">
        <f>C85</f>
        <v>8</v>
      </c>
      <c r="T87" s="22">
        <f>C85</f>
        <v>8</v>
      </c>
      <c r="U87" s="23">
        <f>C85</f>
        <v>8</v>
      </c>
      <c r="V87" s="24">
        <f>W88-X89</f>
        <v>-260</v>
      </c>
      <c r="W87" s="25">
        <f t="shared" ref="W87:X87" si="86">W88-W89</f>
        <v>-256</v>
      </c>
      <c r="X87" s="25">
        <f t="shared" si="86"/>
        <v>-256</v>
      </c>
      <c r="Y87" s="26">
        <f>X88-W89</f>
        <v>-252</v>
      </c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ht="49.5" customHeight="1">
      <c r="F88" s="27" t="s">
        <v>42</v>
      </c>
      <c r="G88" s="28">
        <f>G85+H86</f>
        <v>32</v>
      </c>
      <c r="H88" s="29">
        <f>G86+H85</f>
        <v>32</v>
      </c>
      <c r="I88" s="30"/>
      <c r="J88" s="31">
        <f t="shared" ref="J88:K88" si="87">J85+J86</f>
        <v>30</v>
      </c>
      <c r="K88" s="29">
        <f t="shared" si="87"/>
        <v>34</v>
      </c>
      <c r="L88" s="30"/>
      <c r="M88" s="32">
        <f>M85+N85</f>
        <v>-96</v>
      </c>
      <c r="N88" s="33">
        <f>M86+N86</f>
        <v>160</v>
      </c>
      <c r="P88" s="34">
        <f>E86</f>
        <v>64</v>
      </c>
      <c r="S88" s="2"/>
      <c r="T88" s="2"/>
      <c r="U88" s="2"/>
      <c r="V88" s="25">
        <f t="shared" ref="V88:V89" si="90">W88-X88</f>
        <v>-4</v>
      </c>
      <c r="W88" s="35">
        <f t="shared" ref="W88:X88" si="88">P89</f>
        <v>-162</v>
      </c>
      <c r="X88" s="35">
        <f t="shared" si="88"/>
        <v>-158</v>
      </c>
      <c r="Y88" s="36">
        <f t="shared" ref="Y88:Y89" si="92">X88-W88</f>
        <v>4</v>
      </c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ht="49.5" customHeight="1">
      <c r="F89" s="37" t="s">
        <v>43</v>
      </c>
      <c r="G89" s="38">
        <f>G85-H86</f>
        <v>-130</v>
      </c>
      <c r="H89" s="39">
        <f>H85-G86</f>
        <v>-126</v>
      </c>
      <c r="I89" s="40"/>
      <c r="J89" s="32">
        <f t="shared" ref="J89:K89" si="89">J85-J86</f>
        <v>-128</v>
      </c>
      <c r="K89" s="41">
        <f t="shared" si="89"/>
        <v>-128</v>
      </c>
      <c r="L89" s="30"/>
      <c r="M89" s="38">
        <f>M85-N85</f>
        <v>-2</v>
      </c>
      <c r="N89" s="33">
        <f>M86-N86</f>
        <v>-2</v>
      </c>
      <c r="P89" s="42">
        <f>P85-Q86-Q85-P86</f>
        <v>-162</v>
      </c>
      <c r="Q89" s="43">
        <f>Q85-P86-P85-Q86</f>
        <v>-158</v>
      </c>
      <c r="S89" s="2"/>
      <c r="T89" s="2"/>
      <c r="U89" s="2"/>
      <c r="V89" s="44">
        <f t="shared" si="90"/>
        <v>-4</v>
      </c>
      <c r="W89" s="35">
        <f t="shared" ref="W89:X89" si="91">P90</f>
        <v>94</v>
      </c>
      <c r="X89" s="35">
        <f t="shared" si="91"/>
        <v>98</v>
      </c>
      <c r="Y89" s="36">
        <f t="shared" si="92"/>
        <v>4</v>
      </c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ht="49.5" customHeight="1">
      <c r="A90" s="2"/>
      <c r="B90" s="2"/>
      <c r="C90" s="2"/>
      <c r="D90" s="2"/>
      <c r="E90" s="2"/>
      <c r="F90" s="45"/>
      <c r="G90" s="46">
        <f>H86-G85</f>
        <v>130</v>
      </c>
      <c r="H90" s="47">
        <f>G86-H85</f>
        <v>126</v>
      </c>
      <c r="I90" s="48"/>
      <c r="J90" s="49">
        <f t="shared" ref="J90:K90" si="93">J86-J85</f>
        <v>128</v>
      </c>
      <c r="K90" s="50">
        <f t="shared" si="93"/>
        <v>128</v>
      </c>
      <c r="L90" s="48"/>
      <c r="M90" s="51">
        <f>N85-M85</f>
        <v>2</v>
      </c>
      <c r="N90" s="52">
        <f>N86-M86</f>
        <v>2</v>
      </c>
      <c r="O90" s="2"/>
      <c r="P90" s="53">
        <f>P86-Q85-Q86-P85</f>
        <v>94</v>
      </c>
      <c r="Q90" s="54">
        <f>Q86-P86-P85-Q85</f>
        <v>98</v>
      </c>
      <c r="R90" s="2"/>
      <c r="S90" s="2"/>
      <c r="T90" s="2"/>
      <c r="U90" s="2"/>
      <c r="V90" s="25">
        <f>W89-X88</f>
        <v>252</v>
      </c>
      <c r="W90" s="55">
        <f t="shared" ref="W90:X90" si="94">W89-W88</f>
        <v>256</v>
      </c>
      <c r="X90" s="36">
        <f t="shared" si="94"/>
        <v>256</v>
      </c>
      <c r="Y90" s="56">
        <f>X89-W88</f>
        <v>260</v>
      </c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ht="4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ht="49.5" customHeight="1">
      <c r="A92" s="1" t="s">
        <v>8</v>
      </c>
      <c r="B92" s="1" t="s">
        <v>38</v>
      </c>
      <c r="C92" s="1">
        <f>T11</f>
        <v>9</v>
      </c>
      <c r="D92" s="2"/>
      <c r="E92" s="1" t="s">
        <v>13</v>
      </c>
      <c r="F92" s="1" t="s">
        <v>39</v>
      </c>
      <c r="G92" s="3">
        <f>U11</f>
        <v>-64</v>
      </c>
      <c r="H92" s="4">
        <f>X11</f>
        <v>-62</v>
      </c>
      <c r="J92" s="3">
        <f>U11</f>
        <v>-64</v>
      </c>
      <c r="K92" s="4">
        <f>X11</f>
        <v>-62</v>
      </c>
      <c r="L92" s="2"/>
      <c r="M92" s="3">
        <f>U11</f>
        <v>-64</v>
      </c>
      <c r="N92" s="5">
        <f>X11</f>
        <v>-62</v>
      </c>
      <c r="P92" s="6">
        <f>U11</f>
        <v>-64</v>
      </c>
      <c r="Q92" s="7">
        <f>X11</f>
        <v>-62</v>
      </c>
      <c r="R92" s="1" t="s">
        <v>39</v>
      </c>
      <c r="S92" s="8">
        <f>C92</f>
        <v>9</v>
      </c>
      <c r="T92" s="9">
        <f>C92</f>
        <v>9</v>
      </c>
      <c r="U92" s="10">
        <f>C92</f>
        <v>9</v>
      </c>
      <c r="V92" s="2"/>
      <c r="W92" s="2"/>
      <c r="X92" s="2"/>
      <c r="Y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ht="49.5" customHeight="1">
      <c r="A93" s="2"/>
      <c r="B93" s="2"/>
      <c r="C93" s="2"/>
      <c r="D93" s="2"/>
      <c r="E93" s="11">
        <f>Y11</f>
        <v>72</v>
      </c>
      <c r="F93" s="2"/>
      <c r="G93" s="12">
        <f>W11</f>
        <v>98</v>
      </c>
      <c r="H93" s="13">
        <f>V11</f>
        <v>100</v>
      </c>
      <c r="I93" s="2"/>
      <c r="J93" s="14">
        <f>W11</f>
        <v>98</v>
      </c>
      <c r="K93" s="15">
        <f>V11</f>
        <v>100</v>
      </c>
      <c r="L93" s="2"/>
      <c r="M93" s="12">
        <f>W11</f>
        <v>98</v>
      </c>
      <c r="N93" s="15">
        <f>V11</f>
        <v>100</v>
      </c>
      <c r="P93" s="16">
        <f>W11</f>
        <v>98</v>
      </c>
      <c r="Q93" s="17">
        <f>V11</f>
        <v>100</v>
      </c>
      <c r="S93" s="18">
        <f>C92</f>
        <v>9</v>
      </c>
      <c r="T93" s="19"/>
      <c r="U93" s="20">
        <f>C92</f>
        <v>9</v>
      </c>
      <c r="V93" s="2"/>
      <c r="W93" s="2"/>
      <c r="X93" s="2"/>
      <c r="Y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ht="49.5" customHeight="1">
      <c r="A94" s="2"/>
      <c r="B94" s="2"/>
      <c r="C94" s="2"/>
      <c r="D94" s="2"/>
      <c r="S94" s="21">
        <f>C92</f>
        <v>9</v>
      </c>
      <c r="T94" s="22">
        <f>C92</f>
        <v>9</v>
      </c>
      <c r="U94" s="23">
        <f>C92</f>
        <v>9</v>
      </c>
      <c r="V94" s="24">
        <f>W95-X96</f>
        <v>-328</v>
      </c>
      <c r="W94" s="25">
        <f t="shared" ref="W94:X94" si="95">W95-W96</f>
        <v>-324</v>
      </c>
      <c r="X94" s="25">
        <f t="shared" si="95"/>
        <v>-324</v>
      </c>
      <c r="Y94" s="26">
        <f>X95-W96</f>
        <v>-320</v>
      </c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ht="49.5" customHeight="1">
      <c r="F95" s="27" t="s">
        <v>42</v>
      </c>
      <c r="G95" s="28">
        <f>G92+H93</f>
        <v>36</v>
      </c>
      <c r="H95" s="29">
        <f>G93+H92</f>
        <v>36</v>
      </c>
      <c r="I95" s="30"/>
      <c r="J95" s="31">
        <f t="shared" ref="J95:K95" si="96">J92+J93</f>
        <v>34</v>
      </c>
      <c r="K95" s="29">
        <f t="shared" si="96"/>
        <v>38</v>
      </c>
      <c r="L95" s="30"/>
      <c r="M95" s="32">
        <f>M92+N92</f>
        <v>-126</v>
      </c>
      <c r="N95" s="33">
        <f>M93+N93</f>
        <v>198</v>
      </c>
      <c r="P95" s="34">
        <f>E93</f>
        <v>72</v>
      </c>
      <c r="S95" s="2"/>
      <c r="T95" s="2"/>
      <c r="U95" s="2"/>
      <c r="V95" s="25">
        <f t="shared" ref="V95:V96" si="99">W95-X95</f>
        <v>-4</v>
      </c>
      <c r="W95" s="35">
        <f t="shared" ref="W95:X95" si="97">P96</f>
        <v>-200</v>
      </c>
      <c r="X95" s="35">
        <f t="shared" si="97"/>
        <v>-196</v>
      </c>
      <c r="Y95" s="36">
        <f t="shared" ref="Y95:Y96" si="101">X95-W95</f>
        <v>4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ht="49.5" customHeight="1">
      <c r="F96" s="37" t="s">
        <v>43</v>
      </c>
      <c r="G96" s="38">
        <f>G92-H93</f>
        <v>-164</v>
      </c>
      <c r="H96" s="39">
        <f>H92-G93</f>
        <v>-160</v>
      </c>
      <c r="I96" s="40"/>
      <c r="J96" s="32">
        <f t="shared" ref="J96:K96" si="98">J92-J93</f>
        <v>-162</v>
      </c>
      <c r="K96" s="41">
        <f t="shared" si="98"/>
        <v>-162</v>
      </c>
      <c r="L96" s="30"/>
      <c r="M96" s="38">
        <f>M92-N92</f>
        <v>-2</v>
      </c>
      <c r="N96" s="33">
        <f>M93-N93</f>
        <v>-2</v>
      </c>
      <c r="P96" s="42">
        <f>P92-Q93-Q92-P93</f>
        <v>-200</v>
      </c>
      <c r="Q96" s="43">
        <f>Q92-P93-P92-Q93</f>
        <v>-196</v>
      </c>
      <c r="S96" s="2"/>
      <c r="T96" s="2"/>
      <c r="U96" s="2"/>
      <c r="V96" s="44">
        <f t="shared" si="99"/>
        <v>-4</v>
      </c>
      <c r="W96" s="35">
        <f t="shared" ref="W96:X96" si="100">P97</f>
        <v>124</v>
      </c>
      <c r="X96" s="35">
        <f t="shared" si="100"/>
        <v>128</v>
      </c>
      <c r="Y96" s="36">
        <f t="shared" si="101"/>
        <v>4</v>
      </c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ht="49.5" customHeight="1">
      <c r="A97" s="2"/>
      <c r="B97" s="2"/>
      <c r="C97" s="2"/>
      <c r="D97" s="2"/>
      <c r="E97" s="2"/>
      <c r="F97" s="45"/>
      <c r="G97" s="46">
        <f>H93-G92</f>
        <v>164</v>
      </c>
      <c r="H97" s="47">
        <f>G93-H92</f>
        <v>160</v>
      </c>
      <c r="I97" s="48"/>
      <c r="J97" s="49">
        <f t="shared" ref="J97:K97" si="102">J93-J92</f>
        <v>162</v>
      </c>
      <c r="K97" s="50">
        <f t="shared" si="102"/>
        <v>162</v>
      </c>
      <c r="L97" s="48"/>
      <c r="M97" s="51">
        <f>N92-M92</f>
        <v>2</v>
      </c>
      <c r="N97" s="52">
        <f>N93-M93</f>
        <v>2</v>
      </c>
      <c r="O97" s="2"/>
      <c r="P97" s="53">
        <f>P93-Q92-Q93-P92</f>
        <v>124</v>
      </c>
      <c r="Q97" s="54">
        <f>Q93-P93-P92-Q92</f>
        <v>128</v>
      </c>
      <c r="R97" s="2"/>
      <c r="S97" s="2"/>
      <c r="T97" s="2"/>
      <c r="U97" s="2"/>
      <c r="V97" s="25">
        <f>W96-X95</f>
        <v>320</v>
      </c>
      <c r="W97" s="55">
        <f t="shared" ref="W97:X97" si="103">W96-W95</f>
        <v>324</v>
      </c>
      <c r="X97" s="36">
        <f t="shared" si="103"/>
        <v>324</v>
      </c>
      <c r="Y97" s="56">
        <f>X96-W95</f>
        <v>328</v>
      </c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ht="49.5" customHeight="1">
      <c r="A98" s="2"/>
      <c r="B98" s="2"/>
      <c r="C98" s="2"/>
      <c r="D98" s="2"/>
      <c r="X98" s="2"/>
      <c r="Y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ht="49.5" customHeight="1">
      <c r="A99" s="1" t="s">
        <v>8</v>
      </c>
      <c r="B99" s="1" t="s">
        <v>38</v>
      </c>
      <c r="C99" s="1">
        <f>T12</f>
        <v>10</v>
      </c>
      <c r="D99" s="2"/>
      <c r="E99" s="1" t="s">
        <v>13</v>
      </c>
      <c r="F99" s="1" t="s">
        <v>39</v>
      </c>
      <c r="G99" s="3">
        <f>U12</f>
        <v>-81</v>
      </c>
      <c r="H99" s="4">
        <f>X12</f>
        <v>-79</v>
      </c>
      <c r="J99" s="3">
        <f>U12</f>
        <v>-81</v>
      </c>
      <c r="K99" s="4">
        <f>X12</f>
        <v>-79</v>
      </c>
      <c r="L99" s="2"/>
      <c r="M99" s="3">
        <f>U12</f>
        <v>-81</v>
      </c>
      <c r="N99" s="5">
        <f>X12</f>
        <v>-79</v>
      </c>
      <c r="P99" s="6">
        <f>U12</f>
        <v>-81</v>
      </c>
      <c r="Q99" s="7">
        <f>X12</f>
        <v>-79</v>
      </c>
      <c r="R99" s="1" t="s">
        <v>39</v>
      </c>
      <c r="S99" s="8">
        <f>C99</f>
        <v>10</v>
      </c>
      <c r="T99" s="9">
        <f>C99</f>
        <v>10</v>
      </c>
      <c r="U99" s="10">
        <f>C99</f>
        <v>10</v>
      </c>
      <c r="V99" s="2"/>
      <c r="W99" s="2"/>
      <c r="X99" s="2"/>
      <c r="Y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ht="49.5" customHeight="1">
      <c r="A100" s="2"/>
      <c r="B100" s="2"/>
      <c r="C100" s="2"/>
      <c r="D100" s="2"/>
      <c r="E100" s="11">
        <f>Y12</f>
        <v>80</v>
      </c>
      <c r="F100" s="2"/>
      <c r="G100" s="12">
        <f>W12</f>
        <v>119</v>
      </c>
      <c r="H100" s="13">
        <f>V12</f>
        <v>121</v>
      </c>
      <c r="I100" s="2"/>
      <c r="J100" s="14">
        <f>W12</f>
        <v>119</v>
      </c>
      <c r="K100" s="15">
        <f>V12</f>
        <v>121</v>
      </c>
      <c r="L100" s="2"/>
      <c r="M100" s="12">
        <f>W12</f>
        <v>119</v>
      </c>
      <c r="N100" s="15">
        <f>V12</f>
        <v>121</v>
      </c>
      <c r="P100" s="16">
        <f>W12</f>
        <v>119</v>
      </c>
      <c r="Q100" s="17">
        <f>V12</f>
        <v>121</v>
      </c>
      <c r="S100" s="18">
        <f>C99</f>
        <v>10</v>
      </c>
      <c r="T100" s="19"/>
      <c r="U100" s="20">
        <f>C99</f>
        <v>10</v>
      </c>
      <c r="V100" s="2"/>
      <c r="W100" s="2"/>
      <c r="X100" s="2"/>
      <c r="Y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ht="49.5" customHeight="1">
      <c r="A101" s="2"/>
      <c r="B101" s="2"/>
      <c r="C101" s="2"/>
      <c r="D101" s="2"/>
      <c r="S101" s="21">
        <f>C99</f>
        <v>10</v>
      </c>
      <c r="T101" s="22">
        <f>C99</f>
        <v>10</v>
      </c>
      <c r="U101" s="23">
        <f>C99</f>
        <v>10</v>
      </c>
      <c r="V101" s="24">
        <f>W102-X103</f>
        <v>-404</v>
      </c>
      <c r="W101" s="25">
        <f t="shared" ref="W101:X101" si="104">W102-W103</f>
        <v>-400</v>
      </c>
      <c r="X101" s="25">
        <f t="shared" si="104"/>
        <v>-400</v>
      </c>
      <c r="Y101" s="26">
        <f>X102-W103</f>
        <v>-396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ht="49.5" customHeight="1">
      <c r="F102" s="27" t="s">
        <v>42</v>
      </c>
      <c r="G102" s="28">
        <f>G99+H100</f>
        <v>40</v>
      </c>
      <c r="H102" s="29">
        <f>G100+H99</f>
        <v>40</v>
      </c>
      <c r="I102" s="30"/>
      <c r="J102" s="31">
        <f t="shared" ref="J102:K102" si="105">J99+J100</f>
        <v>38</v>
      </c>
      <c r="K102" s="29">
        <f t="shared" si="105"/>
        <v>42</v>
      </c>
      <c r="L102" s="30"/>
      <c r="M102" s="32">
        <f>M99+N99</f>
        <v>-160</v>
      </c>
      <c r="N102" s="33">
        <f>M100+N100</f>
        <v>240</v>
      </c>
      <c r="P102" s="34">
        <f>E100</f>
        <v>80</v>
      </c>
      <c r="S102" s="2"/>
      <c r="T102" s="2"/>
      <c r="U102" s="2"/>
      <c r="V102" s="25">
        <f t="shared" ref="V102:V103" si="108">W102-X102</f>
        <v>-4</v>
      </c>
      <c r="W102" s="35">
        <f t="shared" ref="W102:X102" si="106">P103</f>
        <v>-242</v>
      </c>
      <c r="X102" s="35">
        <f t="shared" si="106"/>
        <v>-238</v>
      </c>
      <c r="Y102" s="36">
        <f t="shared" ref="Y102:Y103" si="110">X102-W102</f>
        <v>4</v>
      </c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ht="49.5" customHeight="1">
      <c r="F103" s="37" t="s">
        <v>43</v>
      </c>
      <c r="G103" s="38">
        <f>G99-H100</f>
        <v>-202</v>
      </c>
      <c r="H103" s="39">
        <f>H99-G100</f>
        <v>-198</v>
      </c>
      <c r="I103" s="40"/>
      <c r="J103" s="32">
        <f t="shared" ref="J103:K103" si="107">J99-J100</f>
        <v>-200</v>
      </c>
      <c r="K103" s="41">
        <f t="shared" si="107"/>
        <v>-200</v>
      </c>
      <c r="L103" s="30"/>
      <c r="M103" s="38">
        <f>M99-N99</f>
        <v>-2</v>
      </c>
      <c r="N103" s="33">
        <f>M100-N100</f>
        <v>-2</v>
      </c>
      <c r="P103" s="42">
        <f>P99-Q100-Q99-P100</f>
        <v>-242</v>
      </c>
      <c r="Q103" s="43">
        <f>Q99-P100-P99-Q100</f>
        <v>-238</v>
      </c>
      <c r="S103" s="2"/>
      <c r="T103" s="2"/>
      <c r="U103" s="2"/>
      <c r="V103" s="44">
        <f t="shared" si="108"/>
        <v>-4</v>
      </c>
      <c r="W103" s="35">
        <f t="shared" ref="W103:X103" si="109">P104</f>
        <v>158</v>
      </c>
      <c r="X103" s="35">
        <f t="shared" si="109"/>
        <v>162</v>
      </c>
      <c r="Y103" s="36">
        <f t="shared" si="110"/>
        <v>4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ht="49.5" customHeight="1">
      <c r="A104" s="2"/>
      <c r="B104" s="2"/>
      <c r="C104" s="2"/>
      <c r="D104" s="2"/>
      <c r="E104" s="2"/>
      <c r="F104" s="45"/>
      <c r="G104" s="46">
        <f>H100-G99</f>
        <v>202</v>
      </c>
      <c r="H104" s="47">
        <f>G100-H99</f>
        <v>198</v>
      </c>
      <c r="I104" s="48"/>
      <c r="J104" s="49">
        <f t="shared" ref="J104:K104" si="111">J100-J99</f>
        <v>200</v>
      </c>
      <c r="K104" s="50">
        <f t="shared" si="111"/>
        <v>200</v>
      </c>
      <c r="L104" s="48"/>
      <c r="M104" s="51">
        <f>N99-M99</f>
        <v>2</v>
      </c>
      <c r="N104" s="52">
        <f>N100-M100</f>
        <v>2</v>
      </c>
      <c r="O104" s="2"/>
      <c r="P104" s="53">
        <f>P100-Q99-Q100-P99</f>
        <v>158</v>
      </c>
      <c r="Q104" s="54">
        <f>Q100-P100-P99-Q99</f>
        <v>162</v>
      </c>
      <c r="R104" s="2"/>
      <c r="S104" s="2"/>
      <c r="T104" s="2"/>
      <c r="U104" s="2"/>
      <c r="V104" s="25">
        <f>W103-X102</f>
        <v>396</v>
      </c>
      <c r="W104" s="55">
        <f t="shared" ref="W104:X104" si="112">W103-W102</f>
        <v>400</v>
      </c>
      <c r="X104" s="36">
        <f t="shared" si="112"/>
        <v>400</v>
      </c>
      <c r="Y104" s="56">
        <f>X103-W102</f>
        <v>404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ht="4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1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ht="49.5" customHeight="1">
      <c r="A106" s="1" t="s">
        <v>8</v>
      </c>
      <c r="B106" s="1" t="s">
        <v>38</v>
      </c>
      <c r="C106" s="1">
        <f>T13</f>
        <v>11</v>
      </c>
      <c r="D106" s="2"/>
      <c r="E106" s="1" t="s">
        <v>13</v>
      </c>
      <c r="F106" s="1" t="s">
        <v>39</v>
      </c>
      <c r="G106" s="3">
        <f>U13</f>
        <v>-100</v>
      </c>
      <c r="H106" s="4">
        <f>X13</f>
        <v>-98</v>
      </c>
      <c r="J106" s="3">
        <f>U13</f>
        <v>-100</v>
      </c>
      <c r="K106" s="4">
        <f>X13</f>
        <v>-98</v>
      </c>
      <c r="L106" s="2"/>
      <c r="M106" s="3">
        <f>U13</f>
        <v>-100</v>
      </c>
      <c r="N106" s="5">
        <f>X13</f>
        <v>-98</v>
      </c>
      <c r="P106" s="6">
        <f>U13</f>
        <v>-100</v>
      </c>
      <c r="Q106" s="7">
        <f>X13</f>
        <v>-98</v>
      </c>
      <c r="R106" s="1" t="s">
        <v>39</v>
      </c>
      <c r="S106" s="8">
        <f>C106</f>
        <v>11</v>
      </c>
      <c r="T106" s="9">
        <f>C106</f>
        <v>11</v>
      </c>
      <c r="U106" s="10">
        <f>C106</f>
        <v>11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ht="49.5" customHeight="1">
      <c r="A107" s="2"/>
      <c r="B107" s="2"/>
      <c r="C107" s="2"/>
      <c r="D107" s="2"/>
      <c r="E107" s="11">
        <f>Y13</f>
        <v>88</v>
      </c>
      <c r="F107" s="2"/>
      <c r="G107" s="12">
        <f>W13</f>
        <v>142</v>
      </c>
      <c r="H107" s="13">
        <f>V13</f>
        <v>144</v>
      </c>
      <c r="I107" s="2"/>
      <c r="J107" s="14">
        <f>W13</f>
        <v>142</v>
      </c>
      <c r="K107" s="15">
        <f>V13</f>
        <v>144</v>
      </c>
      <c r="L107" s="2"/>
      <c r="M107" s="12">
        <f>W13</f>
        <v>142</v>
      </c>
      <c r="N107" s="15">
        <f>V13</f>
        <v>144</v>
      </c>
      <c r="P107" s="16">
        <f>W13</f>
        <v>142</v>
      </c>
      <c r="Q107" s="17">
        <f>V13</f>
        <v>144</v>
      </c>
      <c r="S107" s="18">
        <f>C106</f>
        <v>11</v>
      </c>
      <c r="T107" s="19"/>
      <c r="U107" s="20">
        <f>C106</f>
        <v>11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ht="49.5" customHeight="1">
      <c r="A108" s="2"/>
      <c r="B108" s="2"/>
      <c r="C108" s="2"/>
      <c r="D108" s="2"/>
      <c r="S108" s="21">
        <f>C106</f>
        <v>11</v>
      </c>
      <c r="T108" s="22">
        <f>C106</f>
        <v>11</v>
      </c>
      <c r="U108" s="23">
        <f>C106</f>
        <v>11</v>
      </c>
      <c r="V108" s="24">
        <f>W109-X110</f>
        <v>-488</v>
      </c>
      <c r="W108" s="25">
        <f t="shared" ref="W108:X108" si="113">W109-W110</f>
        <v>-484</v>
      </c>
      <c r="X108" s="25">
        <f t="shared" si="113"/>
        <v>-484</v>
      </c>
      <c r="Y108" s="26">
        <f>X109-W110</f>
        <v>-480</v>
      </c>
    </row>
    <row r="109" ht="49.5" customHeight="1">
      <c r="F109" s="27" t="s">
        <v>42</v>
      </c>
      <c r="G109" s="28">
        <f>G106+H107</f>
        <v>44</v>
      </c>
      <c r="H109" s="29">
        <f>G107+H106</f>
        <v>44</v>
      </c>
      <c r="I109" s="30"/>
      <c r="J109" s="31">
        <f t="shared" ref="J109:K109" si="114">J106+J107</f>
        <v>42</v>
      </c>
      <c r="K109" s="29">
        <f t="shared" si="114"/>
        <v>46</v>
      </c>
      <c r="L109" s="30"/>
      <c r="M109" s="32">
        <f>M106+N106</f>
        <v>-198</v>
      </c>
      <c r="N109" s="33">
        <f>M107+N107</f>
        <v>286</v>
      </c>
      <c r="P109" s="34">
        <f>E107</f>
        <v>88</v>
      </c>
      <c r="S109" s="2"/>
      <c r="T109" s="2"/>
      <c r="U109" s="2"/>
      <c r="V109" s="25">
        <f t="shared" ref="V109:V110" si="117">W109-X109</f>
        <v>-4</v>
      </c>
      <c r="W109" s="35">
        <f t="shared" ref="W109:X109" si="115">P110</f>
        <v>-288</v>
      </c>
      <c r="X109" s="35">
        <f t="shared" si="115"/>
        <v>-284</v>
      </c>
      <c r="Y109" s="36">
        <f t="shared" ref="Y109:Y110" si="119">X109-W109</f>
        <v>4</v>
      </c>
    </row>
    <row r="110" ht="49.5" customHeight="1">
      <c r="F110" s="37" t="s">
        <v>43</v>
      </c>
      <c r="G110" s="38">
        <f>G106-H107</f>
        <v>-244</v>
      </c>
      <c r="H110" s="39">
        <f>H106-G107</f>
        <v>-240</v>
      </c>
      <c r="I110" s="40"/>
      <c r="J110" s="32">
        <f t="shared" ref="J110:K110" si="116">J106-J107</f>
        <v>-242</v>
      </c>
      <c r="K110" s="41">
        <f t="shared" si="116"/>
        <v>-242</v>
      </c>
      <c r="L110" s="30"/>
      <c r="M110" s="38">
        <f>M106-N106</f>
        <v>-2</v>
      </c>
      <c r="N110" s="33">
        <f>M107-N107</f>
        <v>-2</v>
      </c>
      <c r="P110" s="42">
        <f>P106-Q107-Q106-P107</f>
        <v>-288</v>
      </c>
      <c r="Q110" s="43">
        <f>Q106-P107-P106-Q107</f>
        <v>-284</v>
      </c>
      <c r="S110" s="2"/>
      <c r="T110" s="2"/>
      <c r="U110" s="2"/>
      <c r="V110" s="44">
        <f t="shared" si="117"/>
        <v>-4</v>
      </c>
      <c r="W110" s="35">
        <f t="shared" ref="W110:X110" si="118">P111</f>
        <v>196</v>
      </c>
      <c r="X110" s="35">
        <f t="shared" si="118"/>
        <v>200</v>
      </c>
      <c r="Y110" s="36">
        <f t="shared" si="119"/>
        <v>4</v>
      </c>
    </row>
    <row r="111" ht="49.5" customHeight="1">
      <c r="A111" s="2"/>
      <c r="B111" s="2"/>
      <c r="C111" s="2"/>
      <c r="D111" s="2"/>
      <c r="E111" s="2"/>
      <c r="F111" s="45"/>
      <c r="G111" s="46">
        <f>H107-G106</f>
        <v>244</v>
      </c>
      <c r="H111" s="47">
        <f>G107-H106</f>
        <v>240</v>
      </c>
      <c r="I111" s="48"/>
      <c r="J111" s="49">
        <f t="shared" ref="J111:K111" si="120">J107-J106</f>
        <v>242</v>
      </c>
      <c r="K111" s="50">
        <f t="shared" si="120"/>
        <v>242</v>
      </c>
      <c r="L111" s="48"/>
      <c r="M111" s="51">
        <f>N106-M106</f>
        <v>2</v>
      </c>
      <c r="N111" s="52">
        <f>N107-M107</f>
        <v>2</v>
      </c>
      <c r="O111" s="2"/>
      <c r="P111" s="53">
        <f>P107-Q106-Q107-P106</f>
        <v>196</v>
      </c>
      <c r="Q111" s="54">
        <f>Q107-P107-P106-Q106</f>
        <v>200</v>
      </c>
      <c r="R111" s="2"/>
      <c r="S111" s="2"/>
      <c r="T111" s="2"/>
      <c r="U111" s="2"/>
      <c r="V111" s="25">
        <f>W110-X109</f>
        <v>480</v>
      </c>
      <c r="W111" s="55">
        <f t="shared" ref="W111:X111" si="121">W110-W109</f>
        <v>484</v>
      </c>
      <c r="X111" s="36">
        <f t="shared" si="121"/>
        <v>484</v>
      </c>
      <c r="Y111" s="56">
        <f>X110-W109</f>
        <v>488</v>
      </c>
    </row>
    <row r="112" ht="49.5" customHeight="1"/>
    <row r="113" ht="49.5" customHeight="1">
      <c r="A113" s="1" t="s">
        <v>8</v>
      </c>
      <c r="B113" s="1" t="s">
        <v>38</v>
      </c>
      <c r="C113" s="1">
        <f>T14</f>
        <v>12</v>
      </c>
      <c r="D113" s="2"/>
      <c r="E113" s="1" t="s">
        <v>13</v>
      </c>
      <c r="F113" s="1" t="s">
        <v>39</v>
      </c>
      <c r="G113" s="3">
        <f>U14</f>
        <v>-121</v>
      </c>
      <c r="H113" s="4">
        <f>X14</f>
        <v>-119</v>
      </c>
      <c r="J113" s="3">
        <f>U14</f>
        <v>-121</v>
      </c>
      <c r="K113" s="4">
        <f>X14</f>
        <v>-119</v>
      </c>
      <c r="L113" s="2"/>
      <c r="M113" s="3">
        <f>U14</f>
        <v>-121</v>
      </c>
      <c r="N113" s="5">
        <f>X14</f>
        <v>-119</v>
      </c>
      <c r="P113" s="6">
        <f>U14</f>
        <v>-121</v>
      </c>
      <c r="Q113" s="7">
        <f>X14</f>
        <v>-119</v>
      </c>
      <c r="R113" s="1" t="s">
        <v>39</v>
      </c>
      <c r="S113" s="8">
        <f>C113</f>
        <v>12</v>
      </c>
      <c r="T113" s="9">
        <f>C113</f>
        <v>12</v>
      </c>
      <c r="U113" s="10">
        <f>C113</f>
        <v>12</v>
      </c>
      <c r="V113" s="2"/>
      <c r="W113" s="2"/>
      <c r="X113" s="2"/>
      <c r="Y113" s="2"/>
    </row>
    <row r="114" ht="49.5" customHeight="1">
      <c r="A114" s="2"/>
      <c r="B114" s="2"/>
      <c r="C114" s="2"/>
      <c r="D114" s="2"/>
      <c r="E114" s="11">
        <f>Y14</f>
        <v>96</v>
      </c>
      <c r="F114" s="2"/>
      <c r="G114" s="12">
        <f>W14</f>
        <v>167</v>
      </c>
      <c r="H114" s="13">
        <f>V14</f>
        <v>169</v>
      </c>
      <c r="I114" s="2"/>
      <c r="J114" s="14">
        <f>W14</f>
        <v>167</v>
      </c>
      <c r="K114" s="15">
        <f>V14</f>
        <v>169</v>
      </c>
      <c r="L114" s="2"/>
      <c r="M114" s="12">
        <f>W14</f>
        <v>167</v>
      </c>
      <c r="N114" s="15">
        <f>V14</f>
        <v>169</v>
      </c>
      <c r="P114" s="16">
        <f>W14</f>
        <v>167</v>
      </c>
      <c r="Q114" s="17">
        <f>V14</f>
        <v>169</v>
      </c>
      <c r="S114" s="18">
        <f>C113</f>
        <v>12</v>
      </c>
      <c r="T114" s="19"/>
      <c r="U114" s="20">
        <f>C113</f>
        <v>12</v>
      </c>
      <c r="V114" s="2"/>
      <c r="W114" s="2"/>
      <c r="X114" s="2"/>
      <c r="Y114" s="2"/>
    </row>
    <row r="115" ht="49.5" customHeight="1">
      <c r="A115" s="2"/>
      <c r="B115" s="2"/>
      <c r="C115" s="2"/>
      <c r="D115" s="2"/>
      <c r="S115" s="21">
        <f>C113</f>
        <v>12</v>
      </c>
      <c r="T115" s="22">
        <f>C113</f>
        <v>12</v>
      </c>
      <c r="U115" s="23">
        <f>C113</f>
        <v>12</v>
      </c>
      <c r="V115" s="24">
        <f>W116-X117</f>
        <v>-580</v>
      </c>
      <c r="W115" s="25">
        <f t="shared" ref="W115:X115" si="122">W116-W117</f>
        <v>-576</v>
      </c>
      <c r="X115" s="25">
        <f t="shared" si="122"/>
        <v>-576</v>
      </c>
      <c r="Y115" s="26">
        <f>X116-W117</f>
        <v>-572</v>
      </c>
    </row>
    <row r="116" ht="49.5" customHeight="1">
      <c r="F116" s="27" t="s">
        <v>42</v>
      </c>
      <c r="G116" s="28">
        <f>G113+H114</f>
        <v>48</v>
      </c>
      <c r="H116" s="29">
        <f>G114+H113</f>
        <v>48</v>
      </c>
      <c r="I116" s="30"/>
      <c r="J116" s="31">
        <f t="shared" ref="J116:K116" si="123">J113+J114</f>
        <v>46</v>
      </c>
      <c r="K116" s="29">
        <f t="shared" si="123"/>
        <v>50</v>
      </c>
      <c r="L116" s="30"/>
      <c r="M116" s="32">
        <f>M113+N113</f>
        <v>-240</v>
      </c>
      <c r="N116" s="33">
        <f>M114+N114</f>
        <v>336</v>
      </c>
      <c r="P116" s="34">
        <f>E114</f>
        <v>96</v>
      </c>
      <c r="S116" s="2"/>
      <c r="T116" s="2"/>
      <c r="U116" s="2"/>
      <c r="V116" s="25">
        <f t="shared" ref="V116:V117" si="126">W116-X116</f>
        <v>-4</v>
      </c>
      <c r="W116" s="35">
        <f t="shared" ref="W116:X116" si="124">P117</f>
        <v>-338</v>
      </c>
      <c r="X116" s="35">
        <f t="shared" si="124"/>
        <v>-334</v>
      </c>
      <c r="Y116" s="36">
        <f t="shared" ref="Y116:Y117" si="128">X116-W116</f>
        <v>4</v>
      </c>
    </row>
    <row r="117" ht="49.5" customHeight="1">
      <c r="F117" s="37" t="s">
        <v>43</v>
      </c>
      <c r="G117" s="38">
        <f>G113-H114</f>
        <v>-290</v>
      </c>
      <c r="H117" s="39">
        <f>H113-G114</f>
        <v>-286</v>
      </c>
      <c r="I117" s="40"/>
      <c r="J117" s="32">
        <f t="shared" ref="J117:K117" si="125">J113-J114</f>
        <v>-288</v>
      </c>
      <c r="K117" s="41">
        <f t="shared" si="125"/>
        <v>-288</v>
      </c>
      <c r="L117" s="30"/>
      <c r="M117" s="38">
        <f>M113-N113</f>
        <v>-2</v>
      </c>
      <c r="N117" s="33">
        <f>M114-N114</f>
        <v>-2</v>
      </c>
      <c r="P117" s="42">
        <f>P113-Q114-Q113-P114</f>
        <v>-338</v>
      </c>
      <c r="Q117" s="43">
        <f>Q113-P114-P113-Q114</f>
        <v>-334</v>
      </c>
      <c r="S117" s="2"/>
      <c r="T117" s="2"/>
      <c r="U117" s="2"/>
      <c r="V117" s="44">
        <f t="shared" si="126"/>
        <v>-4</v>
      </c>
      <c r="W117" s="35">
        <f t="shared" ref="W117:X117" si="127">P118</f>
        <v>238</v>
      </c>
      <c r="X117" s="35">
        <f t="shared" si="127"/>
        <v>242</v>
      </c>
      <c r="Y117" s="36">
        <f t="shared" si="128"/>
        <v>4</v>
      </c>
    </row>
    <row r="118" ht="49.5" customHeight="1">
      <c r="A118" s="2"/>
      <c r="B118" s="2"/>
      <c r="C118" s="2"/>
      <c r="D118" s="2"/>
      <c r="E118" s="2"/>
      <c r="F118" s="45"/>
      <c r="G118" s="46">
        <f>H114-G113</f>
        <v>290</v>
      </c>
      <c r="H118" s="47">
        <f>G114-H113</f>
        <v>286</v>
      </c>
      <c r="I118" s="48"/>
      <c r="J118" s="49">
        <f t="shared" ref="J118:K118" si="129">J114-J113</f>
        <v>288</v>
      </c>
      <c r="K118" s="50">
        <f t="shared" si="129"/>
        <v>288</v>
      </c>
      <c r="L118" s="48"/>
      <c r="M118" s="51">
        <f>N113-M113</f>
        <v>2</v>
      </c>
      <c r="N118" s="52">
        <f>N114-M114</f>
        <v>2</v>
      </c>
      <c r="O118" s="2"/>
      <c r="P118" s="53">
        <f>P114-Q113-Q114-P113</f>
        <v>238</v>
      </c>
      <c r="Q118" s="54">
        <f>Q114-P114-P113-Q113</f>
        <v>242</v>
      </c>
      <c r="R118" s="2"/>
      <c r="S118" s="2"/>
      <c r="T118" s="2"/>
      <c r="U118" s="2"/>
      <c r="V118" s="25">
        <f>W117-X116</f>
        <v>572</v>
      </c>
      <c r="W118" s="55">
        <f t="shared" ref="W118:X118" si="130">W117-W116</f>
        <v>576</v>
      </c>
      <c r="X118" s="36">
        <f t="shared" si="130"/>
        <v>576</v>
      </c>
      <c r="Y118" s="56">
        <f>X117-W116</f>
        <v>580</v>
      </c>
    </row>
    <row r="119" ht="4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49.5" customHeight="1">
      <c r="A120" s="1" t="s">
        <v>8</v>
      </c>
      <c r="B120" s="1" t="s">
        <v>38</v>
      </c>
      <c r="C120" s="1" t="str">
        <f>T39</f>
        <v/>
      </c>
      <c r="D120" s="2"/>
      <c r="E120" s="1" t="s">
        <v>13</v>
      </c>
      <c r="F120" s="1" t="s">
        <v>39</v>
      </c>
      <c r="G120" s="3" t="str">
        <f>U39</f>
        <v/>
      </c>
      <c r="H120" s="4">
        <f>X39</f>
        <v>-4</v>
      </c>
      <c r="J120" s="3" t="str">
        <f>U39</f>
        <v/>
      </c>
      <c r="K120" s="4">
        <f>X39</f>
        <v>-4</v>
      </c>
      <c r="L120" s="2"/>
      <c r="M120" s="3" t="str">
        <f>U39</f>
        <v/>
      </c>
      <c r="N120" s="5">
        <f>X39</f>
        <v>-4</v>
      </c>
      <c r="P120" s="6" t="str">
        <f>U39</f>
        <v/>
      </c>
      <c r="Q120" s="7">
        <f>X39</f>
        <v>-4</v>
      </c>
      <c r="R120" s="1" t="s">
        <v>39</v>
      </c>
      <c r="S120" s="8" t="str">
        <f>C120</f>
        <v/>
      </c>
      <c r="T120" s="9" t="str">
        <f>C120</f>
        <v/>
      </c>
      <c r="U120" s="10" t="str">
        <f>C120</f>
        <v/>
      </c>
      <c r="V120" s="2"/>
      <c r="W120" s="2"/>
      <c r="X120" s="2"/>
      <c r="Y120" s="2"/>
    </row>
    <row r="121" ht="49.5" customHeight="1">
      <c r="A121" s="2"/>
      <c r="B121" s="2"/>
      <c r="C121" s="2"/>
      <c r="D121" s="2"/>
      <c r="E121" s="11">
        <f>Y39</f>
        <v>4</v>
      </c>
      <c r="F121" s="2"/>
      <c r="G121" s="12">
        <f>W39</f>
        <v>-8</v>
      </c>
      <c r="H121" s="13">
        <f>V39</f>
        <v>-4</v>
      </c>
      <c r="I121" s="2"/>
      <c r="J121" s="14">
        <f>W39</f>
        <v>-8</v>
      </c>
      <c r="K121" s="15">
        <f>V39</f>
        <v>-4</v>
      </c>
      <c r="L121" s="2"/>
      <c r="M121" s="12">
        <f>W39</f>
        <v>-8</v>
      </c>
      <c r="N121" s="15">
        <f>V39</f>
        <v>-4</v>
      </c>
      <c r="P121" s="16">
        <f>W39</f>
        <v>-8</v>
      </c>
      <c r="Q121" s="17">
        <f>V39</f>
        <v>-4</v>
      </c>
      <c r="S121" s="18" t="str">
        <f>C120</f>
        <v/>
      </c>
      <c r="T121" s="19"/>
      <c r="U121" s="20" t="str">
        <f>C120</f>
        <v/>
      </c>
      <c r="V121" s="2"/>
      <c r="W121" s="2"/>
      <c r="X121" s="2"/>
      <c r="Y121" s="2"/>
    </row>
    <row r="122" ht="49.5" customHeight="1">
      <c r="A122" s="2"/>
      <c r="B122" s="2"/>
      <c r="C122" s="2"/>
      <c r="D122" s="2"/>
      <c r="S122" s="21" t="str">
        <f>C120</f>
        <v/>
      </c>
      <c r="T122" s="22" t="str">
        <f>C120</f>
        <v/>
      </c>
      <c r="U122" s="23" t="str">
        <f>C120</f>
        <v/>
      </c>
      <c r="V122" s="24">
        <f>W123-X124</f>
        <v>8</v>
      </c>
      <c r="W122" s="25">
        <f t="shared" ref="W122:X122" si="131">W123-W124</f>
        <v>16</v>
      </c>
      <c r="X122" s="25">
        <f t="shared" si="131"/>
        <v>0</v>
      </c>
      <c r="Y122" s="26">
        <f>X123-W124</f>
        <v>8</v>
      </c>
    </row>
    <row r="123" ht="49.5" customHeight="1">
      <c r="F123" s="27" t="s">
        <v>42</v>
      </c>
      <c r="G123" s="28">
        <f>G120+H121</f>
        <v>-4</v>
      </c>
      <c r="H123" s="29">
        <f>G121+H120</f>
        <v>-12</v>
      </c>
      <c r="I123" s="30"/>
      <c r="J123" s="31">
        <f t="shared" ref="J123:K123" si="132">J120+J121</f>
        <v>-8</v>
      </c>
      <c r="K123" s="29">
        <f t="shared" si="132"/>
        <v>-8</v>
      </c>
      <c r="L123" s="30"/>
      <c r="M123" s="32">
        <f>M120+N120</f>
        <v>-4</v>
      </c>
      <c r="N123" s="33">
        <f>M121+N121</f>
        <v>-12</v>
      </c>
      <c r="P123" s="34">
        <f>E121</f>
        <v>4</v>
      </c>
      <c r="S123" s="2"/>
      <c r="T123" s="2"/>
      <c r="U123" s="2"/>
      <c r="V123" s="25">
        <f t="shared" ref="V123:V124" si="135">W123-X123</f>
        <v>8</v>
      </c>
      <c r="W123" s="35">
        <f t="shared" ref="W123:X123" si="133">P124</f>
        <v>16</v>
      </c>
      <c r="X123" s="35">
        <f t="shared" si="133"/>
        <v>8</v>
      </c>
      <c r="Y123" s="36">
        <f t="shared" ref="Y123:Y124" si="137">X123-W123</f>
        <v>-8</v>
      </c>
    </row>
    <row r="124" ht="49.5" customHeight="1">
      <c r="F124" s="37" t="s">
        <v>43</v>
      </c>
      <c r="G124" s="38">
        <f>G120-H121</f>
        <v>4</v>
      </c>
      <c r="H124" s="39">
        <f>H120-G121</f>
        <v>4</v>
      </c>
      <c r="I124" s="40"/>
      <c r="J124" s="32">
        <f t="shared" ref="J124:K124" si="134">J120-J121</f>
        <v>8</v>
      </c>
      <c r="K124" s="41">
        <f t="shared" si="134"/>
        <v>0</v>
      </c>
      <c r="L124" s="30"/>
      <c r="M124" s="38">
        <f>M120-N120</f>
        <v>4</v>
      </c>
      <c r="N124" s="33">
        <f>M121-N121</f>
        <v>-4</v>
      </c>
      <c r="P124" s="42">
        <f>P120-Q121-Q120-P121</f>
        <v>16</v>
      </c>
      <c r="Q124" s="43">
        <f>Q120-P121-P120-Q121</f>
        <v>8</v>
      </c>
      <c r="S124" s="2"/>
      <c r="T124" s="2"/>
      <c r="U124" s="2"/>
      <c r="V124" s="44">
        <f t="shared" si="135"/>
        <v>-8</v>
      </c>
      <c r="W124" s="35">
        <f t="shared" ref="W124:X124" si="136">P125</f>
        <v>0</v>
      </c>
      <c r="X124" s="35">
        <f t="shared" si="136"/>
        <v>8</v>
      </c>
      <c r="Y124" s="36">
        <f t="shared" si="137"/>
        <v>8</v>
      </c>
    </row>
    <row r="125" ht="49.5" customHeight="1">
      <c r="A125" s="2"/>
      <c r="B125" s="2"/>
      <c r="C125" s="2"/>
      <c r="D125" s="2"/>
      <c r="E125" s="2"/>
      <c r="F125" s="45"/>
      <c r="G125" s="46">
        <f>H121-G120</f>
        <v>-4</v>
      </c>
      <c r="H125" s="47">
        <f>G121-H120</f>
        <v>-4</v>
      </c>
      <c r="I125" s="48"/>
      <c r="J125" s="49">
        <f t="shared" ref="J125:K125" si="138">J121-J120</f>
        <v>-8</v>
      </c>
      <c r="K125" s="50">
        <f t="shared" si="138"/>
        <v>0</v>
      </c>
      <c r="L125" s="48"/>
      <c r="M125" s="51">
        <f>N120-M120</f>
        <v>-4</v>
      </c>
      <c r="N125" s="52">
        <f>N121-M121</f>
        <v>4</v>
      </c>
      <c r="O125" s="2"/>
      <c r="P125" s="53">
        <f>P121-Q120-Q121-P120</f>
        <v>0</v>
      </c>
      <c r="Q125" s="54">
        <f>Q121-P121-P120-Q120</f>
        <v>8</v>
      </c>
      <c r="R125" s="2"/>
      <c r="S125" s="2"/>
      <c r="T125" s="2"/>
      <c r="U125" s="2"/>
      <c r="V125" s="25">
        <f>W124-X123</f>
        <v>-8</v>
      </c>
      <c r="W125" s="55">
        <f t="shared" ref="W125:X125" si="139">W124-W123</f>
        <v>-16</v>
      </c>
      <c r="X125" s="36">
        <f t="shared" si="139"/>
        <v>0</v>
      </c>
      <c r="Y125" s="56">
        <f>X124-W123</f>
        <v>-8</v>
      </c>
    </row>
    <row r="126" ht="49.5" customHeight="1">
      <c r="A126" s="2"/>
      <c r="B126" s="2"/>
      <c r="C126" s="2"/>
      <c r="D126" s="2"/>
      <c r="X126" s="2"/>
      <c r="Y126" s="2"/>
    </row>
    <row r="127" ht="49.5" customHeight="1">
      <c r="A127" s="1" t="s">
        <v>8</v>
      </c>
      <c r="B127" s="1" t="s">
        <v>38</v>
      </c>
      <c r="C127" s="1" t="str">
        <f>T40</f>
        <v/>
      </c>
      <c r="D127" s="2"/>
      <c r="E127" s="1" t="s">
        <v>13</v>
      </c>
      <c r="F127" s="1" t="s">
        <v>39</v>
      </c>
      <c r="G127" s="3" t="str">
        <f>U40</f>
        <v/>
      </c>
      <c r="H127" s="4">
        <f>X40</f>
        <v>0</v>
      </c>
      <c r="J127" s="3" t="str">
        <f>U40</f>
        <v/>
      </c>
      <c r="K127" s="4">
        <f>X40</f>
        <v>0</v>
      </c>
      <c r="L127" s="2"/>
      <c r="M127" s="3" t="str">
        <f>U40</f>
        <v/>
      </c>
      <c r="N127" s="5">
        <f>X40</f>
        <v>0</v>
      </c>
      <c r="P127" s="6" t="str">
        <f>U40</f>
        <v/>
      </c>
      <c r="Q127" s="7">
        <f>X40</f>
        <v>0</v>
      </c>
      <c r="R127" s="1" t="s">
        <v>39</v>
      </c>
      <c r="S127" s="8" t="str">
        <f>C127</f>
        <v/>
      </c>
      <c r="T127" s="9" t="str">
        <f>C127</f>
        <v/>
      </c>
      <c r="U127" s="10" t="str">
        <f>C127</f>
        <v/>
      </c>
      <c r="V127" s="2"/>
      <c r="W127" s="2"/>
      <c r="X127" s="2"/>
      <c r="Y127" s="2"/>
    </row>
    <row r="128" ht="49.5" customHeight="1">
      <c r="A128" s="2"/>
      <c r="B128" s="2"/>
      <c r="C128" s="2"/>
      <c r="D128" s="2"/>
      <c r="E128" s="11">
        <f>Y40</f>
        <v>4</v>
      </c>
      <c r="F128" s="2"/>
      <c r="G128" s="12">
        <f>W40</f>
        <v>-4</v>
      </c>
      <c r="H128" s="13">
        <f>V40</f>
        <v>-4</v>
      </c>
      <c r="I128" s="2"/>
      <c r="J128" s="14">
        <f>W40</f>
        <v>-4</v>
      </c>
      <c r="K128" s="15">
        <f>V40</f>
        <v>-4</v>
      </c>
      <c r="L128" s="2"/>
      <c r="M128" s="12">
        <f>W40</f>
        <v>-4</v>
      </c>
      <c r="N128" s="15">
        <f>V40</f>
        <v>-4</v>
      </c>
      <c r="P128" s="16">
        <f>W40</f>
        <v>-4</v>
      </c>
      <c r="Q128" s="17">
        <f>V40</f>
        <v>-4</v>
      </c>
      <c r="S128" s="18" t="str">
        <f>C127</f>
        <v/>
      </c>
      <c r="T128" s="19"/>
      <c r="U128" s="20" t="str">
        <f>C127</f>
        <v/>
      </c>
      <c r="V128" s="2"/>
      <c r="W128" s="2"/>
      <c r="X128" s="2"/>
      <c r="Y128" s="2"/>
    </row>
    <row r="129" ht="49.5" customHeight="1">
      <c r="A129" s="2"/>
      <c r="B129" s="2"/>
      <c r="C129" s="2"/>
      <c r="D129" s="2"/>
      <c r="S129" s="21" t="str">
        <f>C127</f>
        <v/>
      </c>
      <c r="T129" s="22" t="str">
        <f>C127</f>
        <v/>
      </c>
      <c r="U129" s="23" t="str">
        <f>C127</f>
        <v/>
      </c>
      <c r="V129" s="24">
        <f>W130-X131</f>
        <v>8</v>
      </c>
      <c r="W129" s="25">
        <f t="shared" ref="W129:X129" si="140">W130-W131</f>
        <v>8</v>
      </c>
      <c r="X129" s="25">
        <f t="shared" si="140"/>
        <v>8</v>
      </c>
      <c r="Y129" s="26">
        <f>X130-W131</f>
        <v>8</v>
      </c>
    </row>
    <row r="130" ht="49.5" customHeight="1">
      <c r="F130" s="27" t="s">
        <v>42</v>
      </c>
      <c r="G130" s="28">
        <f>G127+H128</f>
        <v>-4</v>
      </c>
      <c r="H130" s="29">
        <f>G128+H127</f>
        <v>-4</v>
      </c>
      <c r="I130" s="30"/>
      <c r="J130" s="31">
        <f t="shared" ref="J130:K130" si="141">J127+J128</f>
        <v>-4</v>
      </c>
      <c r="K130" s="29">
        <f t="shared" si="141"/>
        <v>-4</v>
      </c>
      <c r="L130" s="30"/>
      <c r="M130" s="32">
        <f>M127+N127</f>
        <v>0</v>
      </c>
      <c r="N130" s="33">
        <f>M128+N128</f>
        <v>-8</v>
      </c>
      <c r="P130" s="34">
        <f>E128</f>
        <v>4</v>
      </c>
      <c r="S130" s="2"/>
      <c r="T130" s="2"/>
      <c r="U130" s="2"/>
      <c r="V130" s="25">
        <f t="shared" ref="V130:V131" si="144">W130-X130</f>
        <v>0</v>
      </c>
      <c r="W130" s="35">
        <f t="shared" ref="W130:X130" si="142">P131</f>
        <v>8</v>
      </c>
      <c r="X130" s="35">
        <f t="shared" si="142"/>
        <v>8</v>
      </c>
      <c r="Y130" s="36">
        <f t="shared" ref="Y130:Y131" si="146">X130-W130</f>
        <v>0</v>
      </c>
    </row>
    <row r="131" ht="49.5" customHeight="1">
      <c r="F131" s="37" t="s">
        <v>43</v>
      </c>
      <c r="G131" s="38">
        <f>G127-H128</f>
        <v>4</v>
      </c>
      <c r="H131" s="39">
        <f>H127-G128</f>
        <v>4</v>
      </c>
      <c r="I131" s="40"/>
      <c r="J131" s="32">
        <f t="shared" ref="J131:K131" si="143">J127-J128</f>
        <v>4</v>
      </c>
      <c r="K131" s="41">
        <f t="shared" si="143"/>
        <v>4</v>
      </c>
      <c r="L131" s="30"/>
      <c r="M131" s="38">
        <f>M127-N127</f>
        <v>0</v>
      </c>
      <c r="N131" s="33">
        <f>M128-N128</f>
        <v>0</v>
      </c>
      <c r="P131" s="42">
        <f>P127-Q128-Q127-P128</f>
        <v>8</v>
      </c>
      <c r="Q131" s="43">
        <f>Q127-P128-P127-Q128</f>
        <v>8</v>
      </c>
      <c r="S131" s="2"/>
      <c r="T131" s="2"/>
      <c r="U131" s="2"/>
      <c r="V131" s="44">
        <f t="shared" si="144"/>
        <v>0</v>
      </c>
      <c r="W131" s="35">
        <f t="shared" ref="W131:X131" si="145">P132</f>
        <v>0</v>
      </c>
      <c r="X131" s="35">
        <f t="shared" si="145"/>
        <v>0</v>
      </c>
      <c r="Y131" s="36">
        <f t="shared" si="146"/>
        <v>0</v>
      </c>
    </row>
    <row r="132" ht="49.5" customHeight="1">
      <c r="A132" s="2"/>
      <c r="B132" s="2"/>
      <c r="C132" s="2"/>
      <c r="D132" s="2"/>
      <c r="E132" s="2"/>
      <c r="F132" s="45"/>
      <c r="G132" s="46">
        <f>H128-G127</f>
        <v>-4</v>
      </c>
      <c r="H132" s="47">
        <f>G128-H127</f>
        <v>-4</v>
      </c>
      <c r="I132" s="48"/>
      <c r="J132" s="49">
        <f t="shared" ref="J132:K132" si="147">J128-J127</f>
        <v>-4</v>
      </c>
      <c r="K132" s="50">
        <f t="shared" si="147"/>
        <v>-4</v>
      </c>
      <c r="L132" s="48"/>
      <c r="M132" s="51">
        <f>N127-M127</f>
        <v>0</v>
      </c>
      <c r="N132" s="52">
        <f>N128-M128</f>
        <v>0</v>
      </c>
      <c r="O132" s="2"/>
      <c r="P132" s="53">
        <f>P128-Q127-Q128-P127</f>
        <v>0</v>
      </c>
      <c r="Q132" s="54">
        <f>Q128-P128-P127-Q127</f>
        <v>0</v>
      </c>
      <c r="R132" s="2"/>
      <c r="S132" s="2"/>
      <c r="T132" s="2"/>
      <c r="U132" s="2"/>
      <c r="V132" s="25">
        <f>W131-X130</f>
        <v>-8</v>
      </c>
      <c r="W132" s="55">
        <f t="shared" ref="W132:X132" si="148">W131-W130</f>
        <v>-8</v>
      </c>
      <c r="X132" s="36">
        <f t="shared" si="148"/>
        <v>-8</v>
      </c>
      <c r="Y132" s="56">
        <f>X131-W130</f>
        <v>-8</v>
      </c>
    </row>
    <row r="133" ht="4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1"/>
      <c r="S133" s="2"/>
      <c r="T133" s="2"/>
      <c r="U133" s="2"/>
      <c r="V133" s="2"/>
      <c r="W133" s="2"/>
      <c r="X133" s="2"/>
      <c r="Y133" s="2"/>
    </row>
    <row r="134" ht="49.5" customHeight="1">
      <c r="A134" s="1" t="s">
        <v>10</v>
      </c>
      <c r="B134" s="1" t="s">
        <v>38</v>
      </c>
      <c r="C134" s="1" t="str">
        <f>T65</f>
        <v/>
      </c>
      <c r="D134" s="2"/>
      <c r="E134" s="1" t="s">
        <v>13</v>
      </c>
      <c r="F134" s="1" t="s">
        <v>39</v>
      </c>
      <c r="G134" s="3">
        <f>U65</f>
        <v>5</v>
      </c>
      <c r="H134" s="4" t="str">
        <f>X65</f>
        <v/>
      </c>
      <c r="J134" s="3">
        <f>U65</f>
        <v>5</v>
      </c>
      <c r="K134" s="4" t="str">
        <f>X65</f>
        <v/>
      </c>
      <c r="L134" s="2"/>
      <c r="M134" s="3">
        <f>U65</f>
        <v>5</v>
      </c>
      <c r="N134" s="5" t="str">
        <f>X65</f>
        <v/>
      </c>
      <c r="P134" s="6">
        <f>U65</f>
        <v>5</v>
      </c>
      <c r="Q134" s="7" t="str">
        <f>X65</f>
        <v/>
      </c>
      <c r="R134" s="1" t="s">
        <v>39</v>
      </c>
      <c r="S134" s="8" t="str">
        <f>C134</f>
        <v/>
      </c>
      <c r="T134" s="9" t="str">
        <f>C134</f>
        <v/>
      </c>
      <c r="U134" s="10" t="str">
        <f>C134</f>
        <v/>
      </c>
      <c r="V134" s="2"/>
      <c r="W134" s="2"/>
      <c r="X134" s="2"/>
      <c r="Y134" s="2"/>
    </row>
    <row r="135" ht="49.5" customHeight="1">
      <c r="A135" s="2"/>
      <c r="B135" s="2"/>
      <c r="C135" s="2"/>
      <c r="D135" s="2"/>
      <c r="E135" s="11" t="str">
        <f>Y65</f>
        <v/>
      </c>
      <c r="F135" s="2"/>
      <c r="G135" s="12" t="str">
        <f>W65</f>
        <v/>
      </c>
      <c r="H135" s="13" t="str">
        <f>V65</f>
        <v/>
      </c>
      <c r="I135" s="2"/>
      <c r="J135" s="14" t="str">
        <f>W65</f>
        <v/>
      </c>
      <c r="K135" s="15" t="str">
        <f>V65</f>
        <v/>
      </c>
      <c r="L135" s="2"/>
      <c r="M135" s="12" t="str">
        <f>W65</f>
        <v/>
      </c>
      <c r="N135" s="15" t="str">
        <f>V65</f>
        <v/>
      </c>
      <c r="P135" s="16" t="str">
        <f>W65</f>
        <v/>
      </c>
      <c r="Q135" s="17" t="str">
        <f>V65</f>
        <v/>
      </c>
      <c r="S135" s="18" t="str">
        <f>C134</f>
        <v/>
      </c>
      <c r="T135" s="19"/>
      <c r="U135" s="20" t="str">
        <f>C134</f>
        <v/>
      </c>
      <c r="V135" s="2"/>
      <c r="W135" s="2"/>
      <c r="X135" s="2"/>
      <c r="Y135" s="2"/>
    </row>
    <row r="136" ht="49.5" customHeight="1">
      <c r="A136" s="2"/>
      <c r="B136" s="2"/>
      <c r="C136" s="2"/>
      <c r="D136" s="2"/>
      <c r="S136" s="21" t="str">
        <f>C134</f>
        <v/>
      </c>
      <c r="T136" s="22" t="str">
        <f>C134</f>
        <v/>
      </c>
      <c r="U136" s="23" t="str">
        <f>C134</f>
        <v/>
      </c>
      <c r="V136" s="24">
        <f>W137-X138</f>
        <v>10</v>
      </c>
      <c r="W136" s="25">
        <f t="shared" ref="W136:X136" si="149">W137-W138</f>
        <v>10</v>
      </c>
      <c r="X136" s="25">
        <f t="shared" si="149"/>
        <v>0</v>
      </c>
      <c r="Y136" s="26">
        <f>X137-W138</f>
        <v>0</v>
      </c>
    </row>
    <row r="137" ht="49.5" customHeight="1">
      <c r="F137" s="27" t="s">
        <v>42</v>
      </c>
      <c r="G137" s="28">
        <f>G134+H135</f>
        <v>5</v>
      </c>
      <c r="H137" s="29">
        <f>G135+H134</f>
        <v>0</v>
      </c>
      <c r="I137" s="30"/>
      <c r="J137" s="31">
        <f t="shared" ref="J137:K137" si="150">J134+J135</f>
        <v>5</v>
      </c>
      <c r="K137" s="29">
        <f t="shared" si="150"/>
        <v>0</v>
      </c>
      <c r="L137" s="30"/>
      <c r="M137" s="32">
        <f>M134+N134</f>
        <v>5</v>
      </c>
      <c r="N137" s="33">
        <f>M135+N135</f>
        <v>0</v>
      </c>
      <c r="P137" s="34" t="str">
        <f>E135</f>
        <v/>
      </c>
      <c r="S137" s="2"/>
      <c r="T137" s="2"/>
      <c r="U137" s="2"/>
      <c r="V137" s="25">
        <f t="shared" ref="V137:V138" si="153">W137-X137</f>
        <v>10</v>
      </c>
      <c r="W137" s="35">
        <f t="shared" ref="W137:X137" si="151">P138</f>
        <v>5</v>
      </c>
      <c r="X137" s="35">
        <f t="shared" si="151"/>
        <v>-5</v>
      </c>
      <c r="Y137" s="36">
        <f t="shared" ref="Y137:Y138" si="155">X137-W137</f>
        <v>-10</v>
      </c>
    </row>
    <row r="138" ht="49.5" customHeight="1">
      <c r="F138" s="37" t="s">
        <v>43</v>
      </c>
      <c r="G138" s="38">
        <f>G134-H135</f>
        <v>5</v>
      </c>
      <c r="H138" s="39">
        <f>H134-G135</f>
        <v>0</v>
      </c>
      <c r="I138" s="40"/>
      <c r="J138" s="32">
        <f t="shared" ref="J138:K138" si="152">J134-J135</f>
        <v>5</v>
      </c>
      <c r="K138" s="41">
        <f t="shared" si="152"/>
        <v>0</v>
      </c>
      <c r="L138" s="30"/>
      <c r="M138" s="38">
        <f>M134-N134</f>
        <v>5</v>
      </c>
      <c r="N138" s="33">
        <f>M135-N135</f>
        <v>0</v>
      </c>
      <c r="P138" s="42">
        <f>P134-Q135-Q134-P135</f>
        <v>5</v>
      </c>
      <c r="Q138" s="43">
        <f>Q134-P135-P134-Q135</f>
        <v>-5</v>
      </c>
      <c r="S138" s="2"/>
      <c r="T138" s="2"/>
      <c r="U138" s="2"/>
      <c r="V138" s="44">
        <f t="shared" si="153"/>
        <v>0</v>
      </c>
      <c r="W138" s="35">
        <f t="shared" ref="W138:X138" si="154">P139</f>
        <v>-5</v>
      </c>
      <c r="X138" s="35">
        <f t="shared" si="154"/>
        <v>-5</v>
      </c>
      <c r="Y138" s="36">
        <f t="shared" si="155"/>
        <v>0</v>
      </c>
    </row>
    <row r="139" ht="49.5" customHeight="1">
      <c r="A139" s="2"/>
      <c r="B139" s="2"/>
      <c r="C139" s="2"/>
      <c r="D139" s="2"/>
      <c r="E139" s="2"/>
      <c r="F139" s="45"/>
      <c r="G139" s="46">
        <f>H135-G134</f>
        <v>-5</v>
      </c>
      <c r="H139" s="47">
        <f>G135-H134</f>
        <v>0</v>
      </c>
      <c r="I139" s="48"/>
      <c r="J139" s="49">
        <f t="shared" ref="J139:K139" si="156">J135-J134</f>
        <v>-5</v>
      </c>
      <c r="K139" s="50">
        <f t="shared" si="156"/>
        <v>0</v>
      </c>
      <c r="L139" s="48"/>
      <c r="M139" s="51">
        <f>N134-M134</f>
        <v>-5</v>
      </c>
      <c r="N139" s="52">
        <f>N135-M135</f>
        <v>0</v>
      </c>
      <c r="O139" s="2"/>
      <c r="P139" s="53">
        <f>P135-Q134-Q135-P134</f>
        <v>-5</v>
      </c>
      <c r="Q139" s="54">
        <f>Q135-P135-P134-Q134</f>
        <v>-5</v>
      </c>
      <c r="R139" s="2"/>
      <c r="S139" s="2"/>
      <c r="T139" s="2"/>
      <c r="U139" s="2"/>
      <c r="V139" s="25">
        <f>W138-X137</f>
        <v>0</v>
      </c>
      <c r="W139" s="55">
        <f t="shared" ref="W139:X139" si="157">W138-W137</f>
        <v>-10</v>
      </c>
      <c r="X139" s="36">
        <f t="shared" si="157"/>
        <v>0</v>
      </c>
      <c r="Y139" s="56">
        <f>X138-W137</f>
        <v>-10</v>
      </c>
    </row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>
      <c r="A152" s="1" t="s">
        <v>13</v>
      </c>
      <c r="B152" s="1" t="s">
        <v>39</v>
      </c>
      <c r="C152" s="27" t="s">
        <v>9</v>
      </c>
      <c r="D152" s="61" t="s">
        <v>12</v>
      </c>
      <c r="E152" s="1" t="s">
        <v>46</v>
      </c>
      <c r="F152" s="27" t="s">
        <v>8</v>
      </c>
      <c r="G152" s="62" t="s">
        <v>8</v>
      </c>
      <c r="H152" s="61" t="s">
        <v>8</v>
      </c>
      <c r="I152" s="2"/>
      <c r="J152" s="2"/>
      <c r="K152" s="2"/>
      <c r="L152" s="1" t="s">
        <v>47</v>
      </c>
      <c r="M152" s="1" t="s">
        <v>38</v>
      </c>
      <c r="N152" s="1" t="s">
        <v>48</v>
      </c>
      <c r="O152" s="2"/>
      <c r="P152" s="1" t="s">
        <v>13</v>
      </c>
      <c r="Q152" s="1" t="s">
        <v>39</v>
      </c>
      <c r="R152" s="3">
        <v>-1.0</v>
      </c>
      <c r="S152" s="4">
        <v>1.0</v>
      </c>
      <c r="U152" s="3">
        <v>-1.0</v>
      </c>
      <c r="V152" s="4">
        <v>1.0</v>
      </c>
      <c r="W152" s="2"/>
      <c r="X152" s="3">
        <v>-1.0</v>
      </c>
      <c r="Y152" s="5">
        <v>1.0</v>
      </c>
      <c r="AA152" s="6">
        <v>-1.0</v>
      </c>
      <c r="AB152" s="7">
        <v>1.0</v>
      </c>
      <c r="AC152" s="1" t="s">
        <v>39</v>
      </c>
      <c r="AD152" s="8">
        <v>0.0</v>
      </c>
      <c r="AE152" s="9">
        <v>0.0</v>
      </c>
      <c r="AF152" s="10">
        <v>0.0</v>
      </c>
      <c r="AN152" s="2"/>
      <c r="AO152" s="1" t="s">
        <v>49</v>
      </c>
      <c r="AP152" s="1" t="s">
        <v>39</v>
      </c>
      <c r="AQ152" s="63">
        <v>-1.0</v>
      </c>
      <c r="AR152" s="63">
        <v>1.0</v>
      </c>
      <c r="AS152" s="1" t="s">
        <v>39</v>
      </c>
      <c r="AT152" s="63">
        <v>0.0</v>
      </c>
      <c r="AU152" s="63">
        <v>0.0</v>
      </c>
      <c r="AV152" s="63">
        <v>0.0</v>
      </c>
      <c r="AW152" s="2"/>
      <c r="AX152" s="1" t="s">
        <v>47</v>
      </c>
      <c r="AY152" s="1" t="s">
        <v>38</v>
      </c>
      <c r="AZ152" s="1" t="s">
        <v>50</v>
      </c>
      <c r="BA152" s="2"/>
      <c r="BB152" s="1" t="s">
        <v>13</v>
      </c>
      <c r="BC152" s="1" t="s">
        <v>39</v>
      </c>
      <c r="BD152" s="64" t="s">
        <v>51</v>
      </c>
      <c r="BE152" s="65">
        <v>45323.0</v>
      </c>
      <c r="BF152" s="1" t="s">
        <v>39</v>
      </c>
      <c r="BG152" s="27" t="s">
        <v>52</v>
      </c>
      <c r="BH152" s="62" t="s">
        <v>52</v>
      </c>
      <c r="BI152" s="61" t="s">
        <v>52</v>
      </c>
      <c r="BJ152" s="2"/>
      <c r="BK152" s="1" t="s">
        <v>49</v>
      </c>
      <c r="BL152" s="1" t="s">
        <v>39</v>
      </c>
      <c r="BM152" s="66" t="s">
        <v>53</v>
      </c>
      <c r="BN152" s="67" t="s">
        <v>54</v>
      </c>
      <c r="BO152" s="1" t="s">
        <v>39</v>
      </c>
      <c r="BP152" s="63" t="s">
        <v>52</v>
      </c>
      <c r="BQ152" s="63" t="s">
        <v>52</v>
      </c>
      <c r="BR152" s="63" t="s">
        <v>52</v>
      </c>
      <c r="BS152" s="1"/>
    </row>
    <row r="153" ht="49.5" customHeight="1">
      <c r="A153" s="2"/>
      <c r="B153" s="2"/>
      <c r="C153" s="68" t="s">
        <v>11</v>
      </c>
      <c r="D153" s="64" t="s">
        <v>10</v>
      </c>
      <c r="E153" s="2"/>
      <c r="F153" s="69" t="s">
        <v>8</v>
      </c>
      <c r="G153" s="63"/>
      <c r="H153" s="70" t="s">
        <v>8</v>
      </c>
      <c r="I153" s="2"/>
      <c r="J153" s="2"/>
      <c r="K153" s="2"/>
      <c r="L153" s="2"/>
      <c r="M153" s="2"/>
      <c r="N153" s="2"/>
      <c r="O153" s="2"/>
      <c r="P153" s="11">
        <v>0.0</v>
      </c>
      <c r="Q153" s="2"/>
      <c r="R153" s="12">
        <v>-1.0</v>
      </c>
      <c r="S153" s="13">
        <v>1.0</v>
      </c>
      <c r="U153" s="14">
        <v>-1.0</v>
      </c>
      <c r="V153" s="15">
        <v>1.0</v>
      </c>
      <c r="W153" s="2"/>
      <c r="X153" s="12">
        <v>-1.0</v>
      </c>
      <c r="Y153" s="15">
        <v>1.0</v>
      </c>
      <c r="AA153" s="16">
        <v>-1.0</v>
      </c>
      <c r="AB153" s="17">
        <v>1.0</v>
      </c>
      <c r="AC153" s="2"/>
      <c r="AD153" s="18">
        <v>0.0</v>
      </c>
      <c r="AE153" s="19"/>
      <c r="AF153" s="20">
        <v>0.0</v>
      </c>
      <c r="AN153" s="2"/>
      <c r="AO153" s="63" t="s">
        <v>55</v>
      </c>
      <c r="AP153" s="2"/>
      <c r="AQ153" s="63">
        <v>-1.0</v>
      </c>
      <c r="AR153" s="63">
        <v>1.0</v>
      </c>
      <c r="AS153" s="2"/>
      <c r="AT153" s="63">
        <v>0.0</v>
      </c>
      <c r="AU153" s="71" t="s">
        <v>56</v>
      </c>
      <c r="AV153" s="63">
        <v>0.0</v>
      </c>
      <c r="AW153" s="2"/>
      <c r="AX153" s="1" t="s">
        <v>57</v>
      </c>
      <c r="AY153" s="2"/>
      <c r="AZ153" s="2"/>
      <c r="BA153" s="2"/>
      <c r="BB153" s="63" t="s">
        <v>58</v>
      </c>
      <c r="BC153" s="2"/>
      <c r="BD153" s="61" t="s">
        <v>59</v>
      </c>
      <c r="BE153" s="72">
        <v>45383.0</v>
      </c>
      <c r="BF153" s="2"/>
      <c r="BG153" s="69" t="s">
        <v>52</v>
      </c>
      <c r="BH153" s="19"/>
      <c r="BI153" s="70" t="s">
        <v>52</v>
      </c>
      <c r="BJ153" s="2"/>
      <c r="BK153" s="73" t="s">
        <v>60</v>
      </c>
      <c r="BL153" s="2"/>
      <c r="BM153" s="67" t="s">
        <v>61</v>
      </c>
      <c r="BN153" s="67" t="s">
        <v>62</v>
      </c>
      <c r="BO153" s="2"/>
      <c r="BP153" s="63" t="s">
        <v>52</v>
      </c>
      <c r="BQ153" s="74" t="s">
        <v>63</v>
      </c>
      <c r="BR153" s="63" t="s">
        <v>52</v>
      </c>
      <c r="BS153" s="75"/>
    </row>
    <row r="154" ht="49.5" customHeight="1">
      <c r="A154" s="2"/>
      <c r="B154" s="2"/>
      <c r="C154" s="2"/>
      <c r="D154" s="2"/>
      <c r="E154" s="2"/>
      <c r="F154" s="68" t="s">
        <v>8</v>
      </c>
      <c r="G154" s="76" t="s">
        <v>8</v>
      </c>
      <c r="H154" s="64" t="s">
        <v>8</v>
      </c>
      <c r="I154" s="2"/>
      <c r="J154" s="2"/>
      <c r="K154" s="2"/>
      <c r="L154" s="2"/>
      <c r="M154" s="2"/>
      <c r="N154" s="2"/>
      <c r="O154" s="2"/>
      <c r="AA154" s="57"/>
      <c r="AC154" s="2"/>
      <c r="AD154" s="21">
        <v>0.0</v>
      </c>
      <c r="AE154" s="22">
        <v>0.0</v>
      </c>
      <c r="AF154" s="23">
        <v>0.0</v>
      </c>
      <c r="AH154" s="77" t="s">
        <v>64</v>
      </c>
      <c r="AJ154" s="7">
        <v>4.0</v>
      </c>
      <c r="AN154" s="2"/>
      <c r="AO154" s="2"/>
      <c r="AP154" s="2"/>
      <c r="AQ154" s="2"/>
      <c r="AR154" s="2"/>
      <c r="AS154" s="2"/>
      <c r="AT154" s="63">
        <v>0.0</v>
      </c>
      <c r="AU154" s="63">
        <v>0.0</v>
      </c>
      <c r="AV154" s="63">
        <v>0.0</v>
      </c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68" t="s">
        <v>52</v>
      </c>
      <c r="BH154" s="76" t="s">
        <v>52</v>
      </c>
      <c r="BI154" s="64" t="s">
        <v>52</v>
      </c>
      <c r="BJ154" s="2"/>
      <c r="BK154" s="2"/>
      <c r="BL154" s="2"/>
      <c r="BM154" s="2"/>
      <c r="BN154" s="2"/>
      <c r="BO154" s="2"/>
      <c r="BP154" s="63" t="s">
        <v>52</v>
      </c>
      <c r="BQ154" s="63" t="s">
        <v>52</v>
      </c>
      <c r="BR154" s="63" t="s">
        <v>52</v>
      </c>
      <c r="BS154" s="2"/>
    </row>
    <row r="155" ht="4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Q155" s="27" t="s">
        <v>42</v>
      </c>
      <c r="R155" s="13" t="s">
        <v>65</v>
      </c>
      <c r="S155" s="78" t="s">
        <v>65</v>
      </c>
      <c r="T155" s="40"/>
      <c r="U155" s="79" t="s">
        <v>66</v>
      </c>
      <c r="V155" s="78" t="s">
        <v>67</v>
      </c>
      <c r="W155" s="30"/>
      <c r="X155" s="79" t="s">
        <v>65</v>
      </c>
      <c r="Y155" s="12" t="s">
        <v>65</v>
      </c>
      <c r="AA155" s="63" t="s">
        <v>68</v>
      </c>
      <c r="AD155" s="2"/>
      <c r="AH155" s="80">
        <v>-2.0</v>
      </c>
      <c r="AI155" s="80">
        <v>2.0</v>
      </c>
      <c r="AJ155" s="59">
        <v>4.0</v>
      </c>
      <c r="AL155" s="1" t="s">
        <v>69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ht="49.5" customHeight="1">
      <c r="A156" s="1" t="s">
        <v>49</v>
      </c>
      <c r="B156" s="1" t="s">
        <v>39</v>
      </c>
      <c r="C156" s="66" t="s">
        <v>70</v>
      </c>
      <c r="D156" s="66" t="s">
        <v>71</v>
      </c>
      <c r="E156" s="1" t="s">
        <v>46</v>
      </c>
      <c r="F156" s="63" t="s">
        <v>8</v>
      </c>
      <c r="G156" s="63" t="s">
        <v>8</v>
      </c>
      <c r="H156" s="63" t="s">
        <v>8</v>
      </c>
      <c r="I156" s="2"/>
      <c r="J156" s="2"/>
      <c r="K156" s="2"/>
      <c r="Q156" s="81" t="s">
        <v>43</v>
      </c>
      <c r="R156" s="82" t="s">
        <v>72</v>
      </c>
      <c r="S156" s="83" t="s">
        <v>72</v>
      </c>
      <c r="T156" s="84"/>
      <c r="U156" s="85" t="s">
        <v>72</v>
      </c>
      <c r="V156" s="83" t="s">
        <v>72</v>
      </c>
      <c r="W156" s="84"/>
      <c r="X156" s="85" t="s">
        <v>73</v>
      </c>
      <c r="Y156" s="86" t="s">
        <v>73</v>
      </c>
      <c r="AA156" s="87" t="s">
        <v>74</v>
      </c>
      <c r="AD156" s="2"/>
      <c r="AH156" s="80">
        <v>-2.0</v>
      </c>
      <c r="AI156" s="80">
        <v>2.0</v>
      </c>
      <c r="AJ156" s="59">
        <v>4.0</v>
      </c>
      <c r="AN156" s="2"/>
      <c r="AO156" s="1" t="s">
        <v>49</v>
      </c>
      <c r="AP156" s="1" t="s">
        <v>39</v>
      </c>
      <c r="AQ156" s="63" t="s">
        <v>75</v>
      </c>
      <c r="AR156" s="88">
        <v>45353.0</v>
      </c>
      <c r="AS156" s="1" t="s">
        <v>39</v>
      </c>
      <c r="AT156" s="63">
        <v>1.0</v>
      </c>
      <c r="AU156" s="63">
        <v>1.0</v>
      </c>
      <c r="AV156" s="63">
        <v>1.0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ht="49.5" customHeight="1">
      <c r="A157" s="2"/>
      <c r="B157" s="2"/>
      <c r="C157" s="66" t="s">
        <v>76</v>
      </c>
      <c r="D157" s="66" t="s">
        <v>77</v>
      </c>
      <c r="E157" s="2"/>
      <c r="F157" s="63" t="s">
        <v>8</v>
      </c>
      <c r="G157" s="71" t="s">
        <v>78</v>
      </c>
      <c r="H157" s="63" t="s">
        <v>8</v>
      </c>
      <c r="I157" s="2"/>
      <c r="J157" s="2"/>
      <c r="K157" s="2"/>
      <c r="AH157" s="89">
        <v>0.0</v>
      </c>
      <c r="AI157" s="59">
        <v>0.0</v>
      </c>
      <c r="AJ157" s="17">
        <v>4.0</v>
      </c>
      <c r="AL157" s="1" t="s">
        <v>79</v>
      </c>
      <c r="AN157" s="2"/>
      <c r="AO157" s="90">
        <v>45634.0</v>
      </c>
      <c r="AP157" s="2"/>
      <c r="AQ157" s="88">
        <v>45353.0</v>
      </c>
      <c r="AR157" s="88">
        <v>45416.0</v>
      </c>
      <c r="AS157" s="2"/>
      <c r="AT157" s="63">
        <v>1.0</v>
      </c>
      <c r="AU157" s="91" t="s">
        <v>80</v>
      </c>
      <c r="AV157" s="63">
        <v>1.0</v>
      </c>
      <c r="AW157" s="2"/>
      <c r="AX157" s="1" t="s">
        <v>47</v>
      </c>
      <c r="AY157" s="1" t="s">
        <v>38</v>
      </c>
      <c r="AZ157" s="1" t="s">
        <v>50</v>
      </c>
      <c r="BA157" s="2"/>
      <c r="BB157" s="1" t="s">
        <v>13</v>
      </c>
      <c r="BC157" s="1" t="s">
        <v>39</v>
      </c>
      <c r="BD157" s="64" t="s">
        <v>81</v>
      </c>
      <c r="BE157" s="68" t="s">
        <v>82</v>
      </c>
      <c r="BF157" s="1" t="s">
        <v>39</v>
      </c>
      <c r="BG157" s="27" t="s">
        <v>83</v>
      </c>
      <c r="BH157" s="62" t="s">
        <v>83</v>
      </c>
      <c r="BI157" s="61" t="s">
        <v>83</v>
      </c>
      <c r="BJ157" s="2"/>
      <c r="BK157" s="1" t="s">
        <v>49</v>
      </c>
      <c r="BL157" s="1" t="s">
        <v>39</v>
      </c>
      <c r="BM157" s="66" t="s">
        <v>84</v>
      </c>
      <c r="BN157" s="67" t="s">
        <v>85</v>
      </c>
      <c r="BO157" s="1" t="s">
        <v>39</v>
      </c>
      <c r="BP157" s="63" t="s">
        <v>83</v>
      </c>
      <c r="BQ157" s="63" t="s">
        <v>83</v>
      </c>
      <c r="BR157" s="63" t="s">
        <v>83</v>
      </c>
      <c r="BS157" s="2"/>
      <c r="BT157" s="2"/>
      <c r="BU157" s="2"/>
      <c r="BV157" s="2"/>
      <c r="BW157" s="2"/>
      <c r="BX157" s="2"/>
      <c r="BY157" s="2"/>
      <c r="BZ157" s="2"/>
      <c r="CA157" s="2"/>
    </row>
    <row r="158" ht="49.5" customHeight="1">
      <c r="A158" s="2"/>
      <c r="B158" s="2"/>
      <c r="C158" s="2"/>
      <c r="D158" s="2"/>
      <c r="E158" s="2"/>
      <c r="F158" s="63" t="s">
        <v>8</v>
      </c>
      <c r="G158" s="63" t="s">
        <v>8</v>
      </c>
      <c r="H158" s="63" t="s">
        <v>8</v>
      </c>
      <c r="I158" s="2"/>
      <c r="J158" s="2"/>
      <c r="K158" s="2"/>
      <c r="L158" s="1" t="s">
        <v>47</v>
      </c>
      <c r="M158" s="1" t="s">
        <v>38</v>
      </c>
      <c r="N158" s="1" t="s">
        <v>86</v>
      </c>
      <c r="O158" s="2"/>
      <c r="P158" s="1" t="s">
        <v>13</v>
      </c>
      <c r="Q158" s="1" t="s">
        <v>39</v>
      </c>
      <c r="R158" s="3">
        <v>0.0</v>
      </c>
      <c r="S158" s="4">
        <v>2.0</v>
      </c>
      <c r="U158" s="3">
        <v>0.0</v>
      </c>
      <c r="V158" s="4">
        <v>2.0</v>
      </c>
      <c r="W158" s="2"/>
      <c r="X158" s="3">
        <v>0.0</v>
      </c>
      <c r="Y158" s="5">
        <v>2.0</v>
      </c>
      <c r="AA158" s="6">
        <v>0.0</v>
      </c>
      <c r="AB158" s="7">
        <v>2.0</v>
      </c>
      <c r="AC158" s="1" t="s">
        <v>39</v>
      </c>
      <c r="AD158" s="8">
        <v>1.0</v>
      </c>
      <c r="AE158" s="9">
        <v>1.0</v>
      </c>
      <c r="AF158" s="10">
        <v>1.0</v>
      </c>
      <c r="AN158" s="2"/>
      <c r="AO158" s="2"/>
      <c r="AP158" s="2"/>
      <c r="AQ158" s="2"/>
      <c r="AR158" s="2"/>
      <c r="AS158" s="2"/>
      <c r="AT158" s="63">
        <v>1.0</v>
      </c>
      <c r="AU158" s="63">
        <v>1.0</v>
      </c>
      <c r="AV158" s="63">
        <v>1.0</v>
      </c>
      <c r="AW158" s="2"/>
      <c r="AX158" s="1" t="s">
        <v>87</v>
      </c>
      <c r="AY158" s="2"/>
      <c r="AZ158" s="2"/>
      <c r="BA158" s="2"/>
      <c r="BB158" s="63" t="s">
        <v>88</v>
      </c>
      <c r="BC158" s="2"/>
      <c r="BD158" s="61" t="s">
        <v>82</v>
      </c>
      <c r="BE158" s="27" t="s">
        <v>89</v>
      </c>
      <c r="BF158" s="2"/>
      <c r="BG158" s="69" t="s">
        <v>83</v>
      </c>
      <c r="BH158" s="19"/>
      <c r="BI158" s="70" t="s">
        <v>83</v>
      </c>
      <c r="BJ158" s="2"/>
      <c r="BK158" s="73" t="s">
        <v>90</v>
      </c>
      <c r="BL158" s="2"/>
      <c r="BM158" s="67" t="s">
        <v>85</v>
      </c>
      <c r="BN158" s="67" t="s">
        <v>91</v>
      </c>
      <c r="BO158" s="2"/>
      <c r="BP158" s="63" t="s">
        <v>83</v>
      </c>
      <c r="BQ158" s="74" t="s">
        <v>92</v>
      </c>
      <c r="BR158" s="63" t="s">
        <v>83</v>
      </c>
      <c r="BS158" s="2"/>
      <c r="BT158" s="2"/>
      <c r="BU158" s="2"/>
      <c r="BV158" s="2"/>
      <c r="BW158" s="2"/>
      <c r="BX158" s="2"/>
      <c r="BY158" s="2"/>
      <c r="BZ158" s="2"/>
      <c r="CA158" s="2"/>
    </row>
    <row r="159" ht="4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1">
        <v>8.0</v>
      </c>
      <c r="Q159" s="2"/>
      <c r="R159" s="12">
        <v>2.0</v>
      </c>
      <c r="S159" s="13">
        <v>4.0</v>
      </c>
      <c r="U159" s="14">
        <v>2.0</v>
      </c>
      <c r="V159" s="15">
        <v>4.0</v>
      </c>
      <c r="W159" s="2"/>
      <c r="X159" s="12">
        <v>2.0</v>
      </c>
      <c r="Y159" s="15">
        <v>4.0</v>
      </c>
      <c r="AA159" s="16">
        <v>2.0</v>
      </c>
      <c r="AB159" s="17">
        <v>4.0</v>
      </c>
      <c r="AC159" s="2"/>
      <c r="AD159" s="18">
        <v>1.0</v>
      </c>
      <c r="AE159" s="19"/>
      <c r="AF159" s="20">
        <v>1.0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68" t="s">
        <v>83</v>
      </c>
      <c r="BH159" s="76" t="s">
        <v>83</v>
      </c>
      <c r="BI159" s="64" t="s">
        <v>83</v>
      </c>
      <c r="BJ159" s="2"/>
      <c r="BK159" s="2"/>
      <c r="BL159" s="2"/>
      <c r="BM159" s="2"/>
      <c r="BN159" s="2"/>
      <c r="BO159" s="2"/>
      <c r="BP159" s="63" t="s">
        <v>83</v>
      </c>
      <c r="BQ159" s="63" t="s">
        <v>83</v>
      </c>
      <c r="BR159" s="63" t="s">
        <v>83</v>
      </c>
      <c r="BS159" s="2"/>
      <c r="BT159" s="2"/>
      <c r="BU159" s="2"/>
      <c r="BV159" s="2"/>
      <c r="BW159" s="2"/>
      <c r="BX159" s="2"/>
      <c r="BY159" s="2"/>
      <c r="BZ159" s="2"/>
      <c r="CA159" s="2"/>
    </row>
    <row r="160" ht="4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AC160" s="2"/>
      <c r="AD160" s="21">
        <v>1.0</v>
      </c>
      <c r="AE160" s="22">
        <v>1.0</v>
      </c>
      <c r="AF160" s="23">
        <v>1.0</v>
      </c>
      <c r="AJ160" s="89">
        <v>0.0</v>
      </c>
      <c r="AN160" s="2"/>
      <c r="AO160" s="1" t="s">
        <v>49</v>
      </c>
      <c r="AP160" s="1" t="s">
        <v>39</v>
      </c>
      <c r="AQ160" s="63" t="s">
        <v>93</v>
      </c>
      <c r="AR160" s="88">
        <v>45352.0</v>
      </c>
      <c r="AS160" s="1" t="s">
        <v>39</v>
      </c>
      <c r="AT160" s="63">
        <v>2.0</v>
      </c>
      <c r="AU160" s="63">
        <v>2.0</v>
      </c>
      <c r="AV160" s="63">
        <v>2.0</v>
      </c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ht="4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Q161" s="27" t="s">
        <v>42</v>
      </c>
      <c r="R161" s="28" t="s">
        <v>94</v>
      </c>
      <c r="S161" s="78" t="s">
        <v>94</v>
      </c>
      <c r="T161" s="40"/>
      <c r="U161" s="79" t="s">
        <v>67</v>
      </c>
      <c r="V161" s="78" t="s">
        <v>95</v>
      </c>
      <c r="W161" s="30"/>
      <c r="X161" s="79" t="s">
        <v>67</v>
      </c>
      <c r="Y161" s="12" t="s">
        <v>95</v>
      </c>
      <c r="AA161" s="63" t="s">
        <v>96</v>
      </c>
      <c r="AC161" s="2"/>
      <c r="AD161" s="2"/>
      <c r="AE161" s="2"/>
      <c r="AF161" s="2"/>
      <c r="AH161" s="80">
        <v>-8.0</v>
      </c>
      <c r="AI161" s="80">
        <v>-4.0</v>
      </c>
      <c r="AJ161" s="92">
        <v>4.0</v>
      </c>
      <c r="AL161" s="1" t="s">
        <v>97</v>
      </c>
      <c r="AN161" s="2"/>
      <c r="AO161" s="93" t="s">
        <v>98</v>
      </c>
      <c r="AP161" s="2"/>
      <c r="AQ161" s="88">
        <v>45542.0</v>
      </c>
      <c r="AR161" s="88">
        <v>45605.0</v>
      </c>
      <c r="AS161" s="2"/>
      <c r="AT161" s="63">
        <v>2.0</v>
      </c>
      <c r="AU161" s="71" t="s">
        <v>99</v>
      </c>
      <c r="AV161" s="63">
        <v>2.0</v>
      </c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ht="4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Q162" s="81" t="s">
        <v>43</v>
      </c>
      <c r="R162" s="82" t="s">
        <v>100</v>
      </c>
      <c r="S162" s="83" t="s">
        <v>72</v>
      </c>
      <c r="T162" s="84"/>
      <c r="U162" s="85" t="s">
        <v>73</v>
      </c>
      <c r="V162" s="83" t="s">
        <v>73</v>
      </c>
      <c r="W162" s="94"/>
      <c r="X162" s="85" t="s">
        <v>73</v>
      </c>
      <c r="Y162" s="86" t="s">
        <v>73</v>
      </c>
      <c r="AA162" s="95" t="s">
        <v>101</v>
      </c>
      <c r="AH162" s="80">
        <v>-4.0</v>
      </c>
      <c r="AI162" s="80">
        <v>0.0</v>
      </c>
      <c r="AJ162" s="59">
        <v>4.0</v>
      </c>
      <c r="AN162" s="2"/>
      <c r="AO162" s="2"/>
      <c r="AP162" s="2"/>
      <c r="AQ162" s="2"/>
      <c r="AR162" s="2"/>
      <c r="AS162" s="2"/>
      <c r="AT162" s="63">
        <v>2.0</v>
      </c>
      <c r="AU162" s="63">
        <v>2.0</v>
      </c>
      <c r="AV162" s="63">
        <v>2.0</v>
      </c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ht="4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AH163" s="89">
        <v>4.0</v>
      </c>
      <c r="AI163" s="59">
        <v>4.0</v>
      </c>
      <c r="AJ163" s="17">
        <v>8.0</v>
      </c>
      <c r="AL163" s="1" t="s">
        <v>102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ht="4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" t="s">
        <v>47</v>
      </c>
      <c r="M164" s="1" t="s">
        <v>38</v>
      </c>
      <c r="N164" s="1" t="s">
        <v>103</v>
      </c>
      <c r="O164" s="2"/>
      <c r="P164" s="1" t="s">
        <v>13</v>
      </c>
      <c r="Q164" s="1" t="s">
        <v>39</v>
      </c>
      <c r="R164" s="3">
        <v>-1.0</v>
      </c>
      <c r="S164" s="4">
        <v>1.0</v>
      </c>
      <c r="U164" s="3">
        <v>-1.0</v>
      </c>
      <c r="V164" s="4">
        <v>1.0</v>
      </c>
      <c r="W164" s="2"/>
      <c r="X164" s="3">
        <v>-1.0</v>
      </c>
      <c r="Y164" s="5">
        <v>1.0</v>
      </c>
      <c r="AA164" s="6">
        <v>-1.0</v>
      </c>
      <c r="AB164" s="7">
        <v>1.0</v>
      </c>
      <c r="AC164" s="1" t="s">
        <v>39</v>
      </c>
      <c r="AD164" s="8">
        <v>2.0</v>
      </c>
      <c r="AE164" s="9">
        <v>2.0</v>
      </c>
      <c r="AF164" s="10">
        <v>2.0</v>
      </c>
      <c r="AN164" s="2"/>
      <c r="AO164" s="1" t="s">
        <v>49</v>
      </c>
      <c r="AP164" s="1" t="s">
        <v>39</v>
      </c>
      <c r="AQ164" s="96" t="s">
        <v>104</v>
      </c>
      <c r="AR164" s="63" t="s">
        <v>105</v>
      </c>
      <c r="AS164" s="1" t="s">
        <v>39</v>
      </c>
      <c r="AT164" s="63">
        <v>3.0</v>
      </c>
      <c r="AU164" s="63">
        <v>3.0</v>
      </c>
      <c r="AV164" s="63">
        <v>3.0</v>
      </c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ht="4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1">
        <v>16.0</v>
      </c>
      <c r="Q165" s="2"/>
      <c r="R165" s="12">
        <v>7.0</v>
      </c>
      <c r="S165" s="13">
        <v>9.0</v>
      </c>
      <c r="U165" s="14">
        <v>7.0</v>
      </c>
      <c r="V165" s="15">
        <v>9.0</v>
      </c>
      <c r="W165" s="2"/>
      <c r="X165" s="12">
        <v>7.0</v>
      </c>
      <c r="Y165" s="15">
        <v>9.0</v>
      </c>
      <c r="AA165" s="16">
        <v>7.0</v>
      </c>
      <c r="AB165" s="17">
        <v>9.0</v>
      </c>
      <c r="AC165" s="2"/>
      <c r="AD165" s="18">
        <v>2.0</v>
      </c>
      <c r="AE165" s="19"/>
      <c r="AF165" s="20">
        <v>2.0</v>
      </c>
      <c r="AN165" s="2"/>
      <c r="AO165" s="97" t="s">
        <v>106</v>
      </c>
      <c r="AP165" s="2"/>
      <c r="AQ165" s="96" t="s">
        <v>107</v>
      </c>
      <c r="AR165" s="96" t="s">
        <v>108</v>
      </c>
      <c r="AS165" s="2"/>
      <c r="AT165" s="63">
        <v>3.0</v>
      </c>
      <c r="AU165" s="98" t="s">
        <v>109</v>
      </c>
      <c r="AV165" s="63">
        <v>3.0</v>
      </c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ht="4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AC166" s="2"/>
      <c r="AD166" s="21">
        <v>2.0</v>
      </c>
      <c r="AE166" s="22">
        <v>2.0</v>
      </c>
      <c r="AF166" s="23">
        <v>2.0</v>
      </c>
      <c r="AJ166" s="7">
        <v>12.0</v>
      </c>
      <c r="AN166" s="2"/>
      <c r="AO166" s="2"/>
      <c r="AP166" s="2"/>
      <c r="AQ166" s="2"/>
      <c r="AR166" s="2"/>
      <c r="AS166" s="2"/>
      <c r="AT166" s="63">
        <v>3.0</v>
      </c>
      <c r="AU166" s="63">
        <v>3.0</v>
      </c>
      <c r="AV166" s="63">
        <v>3.0</v>
      </c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ht="4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Q167" s="27" t="s">
        <v>42</v>
      </c>
      <c r="R167" s="28" t="s">
        <v>110</v>
      </c>
      <c r="S167" s="78" t="s">
        <v>110</v>
      </c>
      <c r="T167" s="40"/>
      <c r="U167" s="79" t="s">
        <v>95</v>
      </c>
      <c r="V167" s="29" t="s">
        <v>111</v>
      </c>
      <c r="W167" s="30"/>
      <c r="X167" s="79" t="s">
        <v>65</v>
      </c>
      <c r="Y167" s="99" t="s">
        <v>112</v>
      </c>
      <c r="AA167" s="63" t="s">
        <v>113</v>
      </c>
      <c r="AC167" s="2"/>
      <c r="AD167" s="2"/>
      <c r="AE167" s="2"/>
      <c r="AF167" s="2"/>
      <c r="AG167" s="2"/>
      <c r="AH167" s="80">
        <v>-18.0</v>
      </c>
      <c r="AI167" s="80">
        <v>-14.0</v>
      </c>
      <c r="AJ167" s="59">
        <v>4.0</v>
      </c>
      <c r="AK167" s="2"/>
      <c r="AL167" s="1" t="s">
        <v>114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ht="4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Q168" s="81" t="s">
        <v>43</v>
      </c>
      <c r="R168" s="100" t="s">
        <v>115</v>
      </c>
      <c r="S168" s="83" t="s">
        <v>116</v>
      </c>
      <c r="T168" s="84"/>
      <c r="U168" s="85" t="s">
        <v>117</v>
      </c>
      <c r="V168" s="83" t="s">
        <v>117</v>
      </c>
      <c r="W168" s="94"/>
      <c r="X168" s="85" t="s">
        <v>73</v>
      </c>
      <c r="Y168" s="86" t="s">
        <v>73</v>
      </c>
      <c r="AA168" s="95" t="s">
        <v>118</v>
      </c>
      <c r="AG168" s="2"/>
      <c r="AH168" s="80">
        <v>-2.0</v>
      </c>
      <c r="AI168" s="80">
        <v>2.0</v>
      </c>
      <c r="AJ168" s="59">
        <v>4.0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ht="4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AG169" s="2"/>
      <c r="AH169" s="89">
        <v>16.0</v>
      </c>
      <c r="AI169" s="59">
        <v>16.0</v>
      </c>
      <c r="AJ169" s="17">
        <v>20.0</v>
      </c>
      <c r="AK169" s="2"/>
      <c r="AL169" s="1" t="s">
        <v>119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ht="4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" t="s">
        <v>47</v>
      </c>
      <c r="M170" s="1" t="s">
        <v>38</v>
      </c>
      <c r="N170" s="1" t="s">
        <v>120</v>
      </c>
      <c r="O170" s="2"/>
      <c r="P170" s="1" t="s">
        <v>13</v>
      </c>
      <c r="Q170" s="1" t="s">
        <v>39</v>
      </c>
      <c r="R170" s="3">
        <v>-4.0</v>
      </c>
      <c r="S170" s="4">
        <v>-2.0</v>
      </c>
      <c r="U170" s="3">
        <v>-4.0</v>
      </c>
      <c r="V170" s="4">
        <v>-2.0</v>
      </c>
      <c r="W170" s="2"/>
      <c r="X170" s="3">
        <v>-4.0</v>
      </c>
      <c r="Y170" s="5">
        <v>-2.0</v>
      </c>
      <c r="AA170" s="6">
        <v>-4.0</v>
      </c>
      <c r="AB170" s="7">
        <v>-2.0</v>
      </c>
      <c r="AC170" s="1" t="s">
        <v>39</v>
      </c>
      <c r="AD170" s="8">
        <v>3.0</v>
      </c>
      <c r="AE170" s="9">
        <v>3.0</v>
      </c>
      <c r="AF170" s="10">
        <v>3.0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ht="4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1">
        <v>24.0</v>
      </c>
      <c r="Q171" s="2"/>
      <c r="R171" s="12">
        <v>14.0</v>
      </c>
      <c r="S171" s="13">
        <v>16.0</v>
      </c>
      <c r="T171" s="2"/>
      <c r="U171" s="14">
        <v>14.0</v>
      </c>
      <c r="V171" s="15">
        <v>16.0</v>
      </c>
      <c r="W171" s="2"/>
      <c r="X171" s="12">
        <v>14.0</v>
      </c>
      <c r="Y171" s="15">
        <v>16.0</v>
      </c>
      <c r="AA171" s="16">
        <v>14.0</v>
      </c>
      <c r="AB171" s="17">
        <v>16.0</v>
      </c>
      <c r="AD171" s="18">
        <v>3.0</v>
      </c>
      <c r="AE171" s="19"/>
      <c r="AF171" s="20">
        <v>3.0</v>
      </c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ht="4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AD172" s="21">
        <v>3.0</v>
      </c>
      <c r="AE172" s="22">
        <v>3.0</v>
      </c>
      <c r="AF172" s="23">
        <v>3.0</v>
      </c>
      <c r="AG172" s="2"/>
      <c r="AH172" s="2"/>
      <c r="AI172" s="2"/>
      <c r="AJ172" s="7">
        <v>32.0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ht="4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Q173" s="27" t="s">
        <v>42</v>
      </c>
      <c r="R173" s="101" t="s">
        <v>121</v>
      </c>
      <c r="S173" s="29" t="s">
        <v>121</v>
      </c>
      <c r="T173" s="30"/>
      <c r="U173" s="79" t="s">
        <v>122</v>
      </c>
      <c r="V173" s="29" t="s">
        <v>123</v>
      </c>
      <c r="W173" s="30"/>
      <c r="X173" s="79" t="s">
        <v>124</v>
      </c>
      <c r="Y173" s="99" t="s">
        <v>125</v>
      </c>
      <c r="AA173" s="87" t="s">
        <v>126</v>
      </c>
      <c r="AD173" s="2"/>
      <c r="AE173" s="2"/>
      <c r="AF173" s="2"/>
      <c r="AG173" s="2"/>
      <c r="AH173" s="80">
        <v>-32.0</v>
      </c>
      <c r="AI173" s="80">
        <v>-28.0</v>
      </c>
      <c r="AJ173" s="59">
        <v>4.0</v>
      </c>
      <c r="AK173" s="2"/>
      <c r="AL173" s="1" t="s">
        <v>127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ht="4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Q174" s="81" t="s">
        <v>43</v>
      </c>
      <c r="R174" s="102" t="s">
        <v>128</v>
      </c>
      <c r="S174" s="83" t="s">
        <v>129</v>
      </c>
      <c r="T174" s="84"/>
      <c r="U174" s="103" t="s">
        <v>130</v>
      </c>
      <c r="V174" s="83" t="s">
        <v>130</v>
      </c>
      <c r="W174" s="94"/>
      <c r="X174" s="85" t="s">
        <v>73</v>
      </c>
      <c r="Y174" s="86" t="s">
        <v>73</v>
      </c>
      <c r="AA174" s="95" t="s">
        <v>131</v>
      </c>
      <c r="AD174" s="2"/>
      <c r="AE174" s="2"/>
      <c r="AF174" s="2"/>
      <c r="AG174" s="2"/>
      <c r="AH174" s="80">
        <v>4.0</v>
      </c>
      <c r="AI174" s="80">
        <v>8.0</v>
      </c>
      <c r="AJ174" s="59">
        <v>4.0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ht="4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AD175" s="2"/>
      <c r="AE175" s="2"/>
      <c r="AF175" s="2"/>
      <c r="AG175" s="2"/>
      <c r="AH175" s="89">
        <v>36.0</v>
      </c>
      <c r="AI175" s="59">
        <v>36.0</v>
      </c>
      <c r="AJ175" s="17">
        <v>40.0</v>
      </c>
      <c r="AK175" s="2"/>
      <c r="AL175" s="1" t="s">
        <v>132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ht="4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" t="s">
        <v>47</v>
      </c>
      <c r="M176" s="1" t="s">
        <v>38</v>
      </c>
      <c r="N176" s="1" t="s">
        <v>133</v>
      </c>
      <c r="O176" s="2"/>
      <c r="P176" s="1" t="s">
        <v>13</v>
      </c>
      <c r="Q176" s="1" t="s">
        <v>39</v>
      </c>
      <c r="R176" s="3">
        <v>-9.0</v>
      </c>
      <c r="S176" s="4">
        <v>-7.0</v>
      </c>
      <c r="U176" s="3">
        <v>-9.0</v>
      </c>
      <c r="V176" s="4">
        <v>-7.0</v>
      </c>
      <c r="W176" s="2"/>
      <c r="X176" s="3">
        <v>-9.0</v>
      </c>
      <c r="Y176" s="5">
        <v>-7.0</v>
      </c>
      <c r="AA176" s="6">
        <v>-9.0</v>
      </c>
      <c r="AB176" s="7">
        <v>-7.0</v>
      </c>
      <c r="AC176" s="1" t="s">
        <v>39</v>
      </c>
      <c r="AD176" s="8">
        <v>4.0</v>
      </c>
      <c r="AE176" s="9">
        <v>4.0</v>
      </c>
      <c r="AF176" s="10">
        <v>4.0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ht="4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1">
        <v>32.0</v>
      </c>
      <c r="Q177" s="2"/>
      <c r="R177" s="12">
        <v>23.0</v>
      </c>
      <c r="S177" s="13">
        <v>25.0</v>
      </c>
      <c r="T177" s="2"/>
      <c r="U177" s="14">
        <v>23.0</v>
      </c>
      <c r="V177" s="15">
        <v>25.0</v>
      </c>
      <c r="W177" s="2"/>
      <c r="X177" s="12">
        <v>23.0</v>
      </c>
      <c r="Y177" s="15">
        <v>25.0</v>
      </c>
      <c r="AA177" s="16">
        <v>23.0</v>
      </c>
      <c r="AB177" s="17">
        <v>25.0</v>
      </c>
      <c r="AD177" s="18">
        <v>4.0</v>
      </c>
      <c r="AE177" s="19"/>
      <c r="AF177" s="20">
        <v>4.0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ht="4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AD178" s="21">
        <v>4.0</v>
      </c>
      <c r="AE178" s="22">
        <v>4.0</v>
      </c>
      <c r="AF178" s="23">
        <v>4.0</v>
      </c>
      <c r="AG178" s="2"/>
      <c r="AH178" s="2"/>
      <c r="AI178" s="2"/>
      <c r="AJ178" s="7">
        <v>60.0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ht="4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Q179" s="27" t="s">
        <v>42</v>
      </c>
      <c r="R179" s="28" t="s">
        <v>112</v>
      </c>
      <c r="S179" s="29" t="s">
        <v>112</v>
      </c>
      <c r="T179" s="30"/>
      <c r="U179" s="104" t="s">
        <v>123</v>
      </c>
      <c r="V179" s="29" t="s">
        <v>134</v>
      </c>
      <c r="W179" s="30"/>
      <c r="X179" s="105" t="s">
        <v>135</v>
      </c>
      <c r="Y179" s="99" t="s">
        <v>136</v>
      </c>
      <c r="AA179" s="87" t="s">
        <v>137</v>
      </c>
      <c r="AD179" s="2"/>
      <c r="AE179" s="2"/>
      <c r="AF179" s="2"/>
      <c r="AG179" s="2"/>
      <c r="AH179" s="80">
        <v>-50.0</v>
      </c>
      <c r="AI179" s="80">
        <v>-46.0</v>
      </c>
      <c r="AJ179" s="59">
        <v>4.0</v>
      </c>
      <c r="AK179" s="2"/>
      <c r="AL179" s="1" t="s">
        <v>138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ht="4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Q180" s="81" t="s">
        <v>43</v>
      </c>
      <c r="R180" s="102" t="s">
        <v>139</v>
      </c>
      <c r="S180" s="83" t="s">
        <v>140</v>
      </c>
      <c r="T180" s="84"/>
      <c r="U180" s="103" t="s">
        <v>141</v>
      </c>
      <c r="V180" s="83" t="s">
        <v>141</v>
      </c>
      <c r="W180" s="94"/>
      <c r="X180" s="85" t="s">
        <v>73</v>
      </c>
      <c r="Y180" s="86" t="s">
        <v>73</v>
      </c>
      <c r="AA180" s="95" t="s">
        <v>142</v>
      </c>
      <c r="AD180" s="2"/>
      <c r="AE180" s="2"/>
      <c r="AF180" s="2"/>
      <c r="AG180" s="2"/>
      <c r="AH180" s="80">
        <v>14.0</v>
      </c>
      <c r="AI180" s="80">
        <v>18.0</v>
      </c>
      <c r="AJ180" s="59">
        <v>4.0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ht="4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89">
        <v>64.0</v>
      </c>
      <c r="AI181" s="59">
        <v>64.0</v>
      </c>
      <c r="AJ181" s="17">
        <v>68.0</v>
      </c>
      <c r="AK181" s="2"/>
      <c r="AL181" s="1" t="s">
        <v>143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ht="4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 t="s">
        <v>47</v>
      </c>
      <c r="M182" s="1" t="s">
        <v>38</v>
      </c>
      <c r="N182" s="1" t="s">
        <v>144</v>
      </c>
      <c r="O182" s="2"/>
      <c r="P182" s="1" t="s">
        <v>13</v>
      </c>
      <c r="Q182" s="1" t="s">
        <v>39</v>
      </c>
      <c r="R182" s="3">
        <v>-16.0</v>
      </c>
      <c r="S182" s="4">
        <v>-14.0</v>
      </c>
      <c r="U182" s="3">
        <v>-16.0</v>
      </c>
      <c r="V182" s="4">
        <v>-14.0</v>
      </c>
      <c r="W182" s="2"/>
      <c r="X182" s="3">
        <v>-16.0</v>
      </c>
      <c r="Y182" s="5">
        <v>-14.0</v>
      </c>
      <c r="AA182" s="6">
        <v>-16.0</v>
      </c>
      <c r="AB182" s="7">
        <v>-14.0</v>
      </c>
      <c r="AC182" s="1" t="s">
        <v>39</v>
      </c>
      <c r="AD182" s="8">
        <v>5.0</v>
      </c>
      <c r="AE182" s="9">
        <v>5.0</v>
      </c>
      <c r="AF182" s="10">
        <v>5.0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ht="4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1">
        <v>40.0</v>
      </c>
      <c r="Q183" s="2"/>
      <c r="R183" s="12">
        <v>34.0</v>
      </c>
      <c r="S183" s="13">
        <v>36.0</v>
      </c>
      <c r="T183" s="2"/>
      <c r="U183" s="14">
        <v>34.0</v>
      </c>
      <c r="V183" s="15">
        <v>36.0</v>
      </c>
      <c r="W183" s="2"/>
      <c r="X183" s="12">
        <v>34.0</v>
      </c>
      <c r="Y183" s="15">
        <v>36.0</v>
      </c>
      <c r="AA183" s="16">
        <v>34.0</v>
      </c>
      <c r="AB183" s="17">
        <v>36.0</v>
      </c>
      <c r="AD183" s="18">
        <v>5.0</v>
      </c>
      <c r="AE183" s="19"/>
      <c r="AF183" s="20">
        <v>5.0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ht="4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AD184" s="21">
        <v>5.0</v>
      </c>
      <c r="AE184" s="22">
        <v>5.0</v>
      </c>
      <c r="AF184" s="23">
        <v>5.0</v>
      </c>
      <c r="AG184" s="2"/>
      <c r="AH184" s="2"/>
      <c r="AI184" s="2"/>
      <c r="AJ184" s="7">
        <v>104.0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ht="4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Q185" s="27" t="s">
        <v>42</v>
      </c>
      <c r="R185" s="28" t="s">
        <v>145</v>
      </c>
      <c r="S185" s="29" t="s">
        <v>145</v>
      </c>
      <c r="T185" s="30"/>
      <c r="U185" s="31" t="s">
        <v>134</v>
      </c>
      <c r="V185" s="29" t="s">
        <v>146</v>
      </c>
      <c r="W185" s="30"/>
      <c r="X185" s="105" t="s">
        <v>135</v>
      </c>
      <c r="Y185" s="99" t="s">
        <v>136</v>
      </c>
      <c r="AA185" s="87" t="s">
        <v>147</v>
      </c>
      <c r="AD185" s="2"/>
      <c r="AE185" s="2"/>
      <c r="AF185" s="2"/>
      <c r="AG185" s="2"/>
      <c r="AH185" s="80">
        <v>-72.0</v>
      </c>
      <c r="AI185" s="80">
        <v>-68.0</v>
      </c>
      <c r="AJ185" s="59">
        <v>4.0</v>
      </c>
      <c r="AK185" s="2"/>
      <c r="AL185" s="1" t="s">
        <v>148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ht="4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Q186" s="81" t="s">
        <v>43</v>
      </c>
      <c r="R186" s="102" t="s">
        <v>149</v>
      </c>
      <c r="S186" s="83" t="s">
        <v>150</v>
      </c>
      <c r="T186" s="84"/>
      <c r="U186" s="103" t="s">
        <v>151</v>
      </c>
      <c r="V186" s="83" t="s">
        <v>151</v>
      </c>
      <c r="W186" s="94"/>
      <c r="X186" s="85" t="s">
        <v>73</v>
      </c>
      <c r="Y186" s="86" t="s">
        <v>73</v>
      </c>
      <c r="AA186" s="87" t="s">
        <v>152</v>
      </c>
      <c r="AD186" s="2"/>
      <c r="AE186" s="2"/>
      <c r="AF186" s="2"/>
      <c r="AG186" s="2"/>
      <c r="AH186" s="80">
        <v>28.0</v>
      </c>
      <c r="AI186" s="80">
        <v>32.0</v>
      </c>
      <c r="AJ186" s="59">
        <v>4.0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ht="4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89">
        <v>100.0</v>
      </c>
      <c r="AI187" s="59">
        <v>100.0</v>
      </c>
      <c r="AJ187" s="17">
        <v>104.0</v>
      </c>
      <c r="AK187" s="2"/>
      <c r="AL187" s="1" t="s">
        <v>153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ht="4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 t="s">
        <v>47</v>
      </c>
      <c r="M188" s="1" t="s">
        <v>38</v>
      </c>
      <c r="N188" s="1" t="s">
        <v>154</v>
      </c>
      <c r="O188" s="2"/>
      <c r="P188" s="1" t="s">
        <v>13</v>
      </c>
      <c r="Q188" s="1" t="s">
        <v>39</v>
      </c>
      <c r="R188" s="3">
        <v>-25.0</v>
      </c>
      <c r="S188" s="4">
        <v>-23.0</v>
      </c>
      <c r="U188" s="3">
        <v>-25.0</v>
      </c>
      <c r="V188" s="4">
        <v>-23.0</v>
      </c>
      <c r="W188" s="2"/>
      <c r="X188" s="3">
        <v>-25.0</v>
      </c>
      <c r="Y188" s="5">
        <v>-23.0</v>
      </c>
      <c r="AA188" s="6">
        <v>-25.0</v>
      </c>
      <c r="AB188" s="7">
        <v>-23.0</v>
      </c>
      <c r="AC188" s="1" t="s">
        <v>39</v>
      </c>
      <c r="AD188" s="8">
        <v>6.0</v>
      </c>
      <c r="AE188" s="9">
        <v>6.0</v>
      </c>
      <c r="AF188" s="10">
        <v>6.0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ht="4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1">
        <v>48.0</v>
      </c>
      <c r="Q189" s="2"/>
      <c r="R189" s="12">
        <v>47.0</v>
      </c>
      <c r="S189" s="13">
        <v>49.0</v>
      </c>
      <c r="T189" s="2"/>
      <c r="U189" s="14">
        <v>47.0</v>
      </c>
      <c r="V189" s="15">
        <v>49.0</v>
      </c>
      <c r="W189" s="2"/>
      <c r="X189" s="12">
        <v>47.0</v>
      </c>
      <c r="Y189" s="15">
        <v>49.0</v>
      </c>
      <c r="AA189" s="16">
        <v>47.0</v>
      </c>
      <c r="AB189" s="17">
        <v>49.0</v>
      </c>
      <c r="AD189" s="18">
        <v>6.0</v>
      </c>
      <c r="AE189" s="19"/>
      <c r="AF189" s="20">
        <v>6.0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ht="4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AD190" s="21">
        <v>6.0</v>
      </c>
      <c r="AE190" s="22">
        <v>6.0</v>
      </c>
      <c r="AF190" s="23">
        <v>6.0</v>
      </c>
      <c r="AG190" s="2"/>
      <c r="AH190" s="2"/>
      <c r="AI190" s="2"/>
      <c r="AJ190" s="7">
        <v>140.0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ht="4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Q191" s="27" t="s">
        <v>42</v>
      </c>
      <c r="R191" s="28" t="s">
        <v>155</v>
      </c>
      <c r="S191" s="29" t="s">
        <v>155</v>
      </c>
      <c r="T191" s="30"/>
      <c r="U191" s="31" t="s">
        <v>146</v>
      </c>
      <c r="V191" s="29" t="s">
        <v>156</v>
      </c>
      <c r="W191" s="30"/>
      <c r="X191" s="105" t="s">
        <v>157</v>
      </c>
      <c r="Y191" s="99" t="s">
        <v>158</v>
      </c>
      <c r="AA191" s="87" t="s">
        <v>159</v>
      </c>
      <c r="AD191" s="2"/>
      <c r="AE191" s="2"/>
      <c r="AF191" s="2"/>
      <c r="AG191" s="2"/>
      <c r="AH191" s="80">
        <v>-98.0</v>
      </c>
      <c r="AI191" s="80">
        <v>-94.0</v>
      </c>
      <c r="AJ191" s="59">
        <v>4.0</v>
      </c>
      <c r="AK191" s="2"/>
      <c r="AL191" s="1" t="s">
        <v>160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ht="4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Q192" s="81" t="s">
        <v>43</v>
      </c>
      <c r="R192" s="102" t="s">
        <v>161</v>
      </c>
      <c r="S192" s="83" t="s">
        <v>162</v>
      </c>
      <c r="T192" s="84"/>
      <c r="U192" s="103" t="s">
        <v>163</v>
      </c>
      <c r="V192" s="83" t="s">
        <v>163</v>
      </c>
      <c r="W192" s="94"/>
      <c r="X192" s="85" t="s">
        <v>73</v>
      </c>
      <c r="Y192" s="86" t="s">
        <v>73</v>
      </c>
      <c r="AA192" s="95" t="s">
        <v>164</v>
      </c>
      <c r="AD192" s="2"/>
      <c r="AE192" s="2"/>
      <c r="AF192" s="2"/>
      <c r="AG192" s="2"/>
      <c r="AH192" s="80">
        <v>46.0</v>
      </c>
      <c r="AI192" s="80">
        <v>50.0</v>
      </c>
      <c r="AJ192" s="59">
        <v>4.0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ht="4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89">
        <v>144.0</v>
      </c>
      <c r="AI193" s="59">
        <v>144.0</v>
      </c>
      <c r="AJ193" s="17">
        <v>148.0</v>
      </c>
      <c r="AK193" s="2"/>
      <c r="AL193" s="1" t="s">
        <v>165</v>
      </c>
      <c r="AM193" s="1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ht="4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" t="s">
        <v>47</v>
      </c>
      <c r="M194" s="1" t="s">
        <v>38</v>
      </c>
      <c r="N194" s="1" t="s">
        <v>166</v>
      </c>
      <c r="O194" s="2"/>
      <c r="P194" s="1" t="s">
        <v>13</v>
      </c>
      <c r="Q194" s="1" t="s">
        <v>39</v>
      </c>
      <c r="R194" s="3">
        <v>-36.0</v>
      </c>
      <c r="S194" s="4">
        <v>-34.0</v>
      </c>
      <c r="U194" s="3">
        <v>-36.0</v>
      </c>
      <c r="V194" s="4">
        <v>-34.0</v>
      </c>
      <c r="W194" s="2"/>
      <c r="X194" s="3">
        <v>-36.0</v>
      </c>
      <c r="Y194" s="5">
        <v>-34.0</v>
      </c>
      <c r="AA194" s="6">
        <v>-36.0</v>
      </c>
      <c r="AB194" s="7">
        <v>-34.0</v>
      </c>
      <c r="AC194" s="1" t="s">
        <v>39</v>
      </c>
      <c r="AD194" s="8">
        <v>7.0</v>
      </c>
      <c r="AE194" s="9">
        <v>7.0</v>
      </c>
      <c r="AF194" s="10">
        <v>7.0</v>
      </c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ht="4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1">
        <v>56.0</v>
      </c>
      <c r="Q195" s="2"/>
      <c r="R195" s="12">
        <v>62.0</v>
      </c>
      <c r="S195" s="13">
        <v>64.0</v>
      </c>
      <c r="T195" s="2"/>
      <c r="U195" s="14">
        <v>62.0</v>
      </c>
      <c r="V195" s="15">
        <v>64.0</v>
      </c>
      <c r="W195" s="2"/>
      <c r="X195" s="12">
        <v>62.0</v>
      </c>
      <c r="Y195" s="15">
        <v>64.0</v>
      </c>
      <c r="AA195" s="16">
        <v>62.0</v>
      </c>
      <c r="AB195" s="17">
        <v>64.0</v>
      </c>
      <c r="AD195" s="18">
        <v>7.0</v>
      </c>
      <c r="AE195" s="19"/>
      <c r="AF195" s="20">
        <v>7.0</v>
      </c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ht="4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AD196" s="21">
        <v>7.0</v>
      </c>
      <c r="AE196" s="22">
        <v>7.0</v>
      </c>
      <c r="AF196" s="23">
        <v>7.0</v>
      </c>
      <c r="AG196" s="2"/>
      <c r="AH196" s="2"/>
      <c r="AI196" s="2"/>
      <c r="AJ196" s="7">
        <v>192.0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ht="4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Q197" s="27" t="s">
        <v>42</v>
      </c>
      <c r="R197" s="28" t="s">
        <v>167</v>
      </c>
      <c r="S197" s="29" t="s">
        <v>167</v>
      </c>
      <c r="T197" s="30"/>
      <c r="U197" s="31" t="s">
        <v>156</v>
      </c>
      <c r="V197" s="29" t="s">
        <v>125</v>
      </c>
      <c r="W197" s="30"/>
      <c r="X197" s="105" t="s">
        <v>168</v>
      </c>
      <c r="Y197" s="106" t="s">
        <v>169</v>
      </c>
      <c r="AA197" s="87" t="s">
        <v>170</v>
      </c>
      <c r="AD197" s="2"/>
      <c r="AE197" s="2"/>
      <c r="AF197" s="2"/>
      <c r="AG197" s="2"/>
      <c r="AH197" s="80">
        <v>-128.0</v>
      </c>
      <c r="AI197" s="80">
        <v>-124.0</v>
      </c>
      <c r="AJ197" s="59">
        <v>4.0</v>
      </c>
      <c r="AK197" s="2"/>
      <c r="AL197" s="1" t="s">
        <v>171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ht="4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Q198" s="81" t="s">
        <v>43</v>
      </c>
      <c r="R198" s="100" t="s">
        <v>172</v>
      </c>
      <c r="S198" s="83" t="s">
        <v>173</v>
      </c>
      <c r="T198" s="84"/>
      <c r="U198" s="103" t="s">
        <v>174</v>
      </c>
      <c r="V198" s="83" t="s">
        <v>174</v>
      </c>
      <c r="W198" s="94"/>
      <c r="X198" s="85" t="s">
        <v>73</v>
      </c>
      <c r="Y198" s="86" t="s">
        <v>73</v>
      </c>
      <c r="AA198" s="95" t="s">
        <v>175</v>
      </c>
      <c r="AD198" s="2"/>
      <c r="AE198" s="2"/>
      <c r="AF198" s="2"/>
      <c r="AG198" s="2"/>
      <c r="AH198" s="80">
        <v>68.0</v>
      </c>
      <c r="AI198" s="80">
        <v>72.0</v>
      </c>
      <c r="AJ198" s="59">
        <v>4.0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ht="4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89">
        <v>196.0</v>
      </c>
      <c r="AI199" s="59">
        <v>196.0</v>
      </c>
      <c r="AJ199" s="17">
        <v>200.0</v>
      </c>
      <c r="AK199" s="2"/>
      <c r="AL199" s="1" t="s">
        <v>176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ht="4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" t="s">
        <v>47</v>
      </c>
      <c r="M200" s="1" t="s">
        <v>38</v>
      </c>
      <c r="N200" s="1" t="s">
        <v>177</v>
      </c>
      <c r="O200" s="2"/>
      <c r="P200" s="1" t="s">
        <v>13</v>
      </c>
      <c r="Q200" s="1" t="s">
        <v>39</v>
      </c>
      <c r="R200" s="3">
        <v>-49.0</v>
      </c>
      <c r="S200" s="4">
        <v>-47.0</v>
      </c>
      <c r="U200" s="3">
        <v>-49.0</v>
      </c>
      <c r="V200" s="4">
        <v>-47.0</v>
      </c>
      <c r="W200" s="2"/>
      <c r="X200" s="3">
        <v>-49.0</v>
      </c>
      <c r="Y200" s="5">
        <v>-47.0</v>
      </c>
      <c r="AA200" s="6">
        <v>-49.0</v>
      </c>
      <c r="AB200" s="7">
        <v>-47.0</v>
      </c>
      <c r="AC200" s="1" t="s">
        <v>39</v>
      </c>
      <c r="AD200" s="8">
        <v>8.0</v>
      </c>
      <c r="AE200" s="9">
        <v>8.0</v>
      </c>
      <c r="AF200" s="10">
        <v>8.0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ht="4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1">
        <v>64.0</v>
      </c>
      <c r="Q201" s="2"/>
      <c r="R201" s="12">
        <v>79.0</v>
      </c>
      <c r="S201" s="13">
        <v>81.0</v>
      </c>
      <c r="T201" s="2"/>
      <c r="U201" s="14">
        <v>79.0</v>
      </c>
      <c r="V201" s="15">
        <v>81.0</v>
      </c>
      <c r="W201" s="2"/>
      <c r="X201" s="12">
        <v>79.0</v>
      </c>
      <c r="Y201" s="15">
        <v>81.0</v>
      </c>
      <c r="AA201" s="16">
        <v>79.0</v>
      </c>
      <c r="AB201" s="17">
        <v>81.0</v>
      </c>
      <c r="AD201" s="18">
        <v>8.0</v>
      </c>
      <c r="AE201" s="19"/>
      <c r="AF201" s="20">
        <v>8.0</v>
      </c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ht="4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AD202" s="21">
        <v>8.0</v>
      </c>
      <c r="AE202" s="22">
        <v>8.0</v>
      </c>
      <c r="AF202" s="23">
        <v>8.0</v>
      </c>
      <c r="AG202" s="2"/>
      <c r="AH202" s="2"/>
      <c r="AI202" s="2"/>
      <c r="AJ202" s="7">
        <v>252.0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ht="4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Q203" s="27" t="s">
        <v>42</v>
      </c>
      <c r="R203" s="28" t="s">
        <v>178</v>
      </c>
      <c r="S203" s="29" t="s">
        <v>178</v>
      </c>
      <c r="T203" s="30"/>
      <c r="U203" s="31" t="s">
        <v>125</v>
      </c>
      <c r="V203" s="29" t="s">
        <v>179</v>
      </c>
      <c r="W203" s="30"/>
      <c r="X203" s="105" t="s">
        <v>180</v>
      </c>
      <c r="Y203" s="106" t="s">
        <v>181</v>
      </c>
      <c r="AA203" s="87" t="s">
        <v>182</v>
      </c>
      <c r="AD203" s="2"/>
      <c r="AE203" s="2"/>
      <c r="AF203" s="2"/>
      <c r="AG203" s="2"/>
      <c r="AH203" s="80">
        <v>-162.0</v>
      </c>
      <c r="AI203" s="80">
        <v>-158.0</v>
      </c>
      <c r="AJ203" s="59">
        <v>4.0</v>
      </c>
      <c r="AK203" s="2"/>
      <c r="AL203" s="1" t="s">
        <v>183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ht="4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Q204" s="81" t="s">
        <v>43</v>
      </c>
      <c r="R204" s="100" t="s">
        <v>184</v>
      </c>
      <c r="S204" s="107" t="s">
        <v>185</v>
      </c>
      <c r="T204" s="84"/>
      <c r="U204" s="108" t="s">
        <v>186</v>
      </c>
      <c r="V204" s="109" t="s">
        <v>186</v>
      </c>
      <c r="W204" s="94"/>
      <c r="X204" s="85" t="s">
        <v>73</v>
      </c>
      <c r="Y204" s="86" t="s">
        <v>73</v>
      </c>
      <c r="AA204" s="87" t="s">
        <v>187</v>
      </c>
      <c r="AD204" s="2"/>
      <c r="AE204" s="2"/>
      <c r="AF204" s="2"/>
      <c r="AG204" s="2"/>
      <c r="AH204" s="80">
        <v>94.0</v>
      </c>
      <c r="AI204" s="80">
        <v>98.0</v>
      </c>
      <c r="AJ204" s="59">
        <v>4.0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ht="4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89">
        <v>256.0</v>
      </c>
      <c r="AI205" s="59">
        <v>256.0</v>
      </c>
      <c r="AJ205" s="17">
        <v>260.0</v>
      </c>
      <c r="AK205" s="2"/>
      <c r="AL205" s="1" t="s">
        <v>188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ht="4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" t="s">
        <v>47</v>
      </c>
      <c r="M206" s="1" t="s">
        <v>38</v>
      </c>
      <c r="N206" s="1" t="s">
        <v>189</v>
      </c>
      <c r="O206" s="2"/>
      <c r="P206" s="1" t="s">
        <v>13</v>
      </c>
      <c r="Q206" s="1" t="s">
        <v>39</v>
      </c>
      <c r="R206" s="3">
        <v>-64.0</v>
      </c>
      <c r="S206" s="4">
        <v>-62.0</v>
      </c>
      <c r="U206" s="3">
        <v>-64.0</v>
      </c>
      <c r="V206" s="4">
        <v>-62.0</v>
      </c>
      <c r="W206" s="2"/>
      <c r="X206" s="3">
        <v>-64.0</v>
      </c>
      <c r="Y206" s="5">
        <v>-62.0</v>
      </c>
      <c r="AA206" s="6">
        <v>-64.0</v>
      </c>
      <c r="AB206" s="7">
        <v>-62.0</v>
      </c>
      <c r="AC206" s="1" t="s">
        <v>39</v>
      </c>
      <c r="AD206" s="8">
        <v>9.0</v>
      </c>
      <c r="AE206" s="9">
        <v>9.0</v>
      </c>
      <c r="AF206" s="10">
        <v>9.0</v>
      </c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ht="4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1">
        <v>72.0</v>
      </c>
      <c r="Q207" s="2"/>
      <c r="R207" s="12">
        <v>98.0</v>
      </c>
      <c r="S207" s="13">
        <v>100.0</v>
      </c>
      <c r="T207" s="2"/>
      <c r="U207" s="14">
        <v>98.0</v>
      </c>
      <c r="V207" s="15">
        <v>100.0</v>
      </c>
      <c r="W207" s="2"/>
      <c r="X207" s="12">
        <v>98.0</v>
      </c>
      <c r="Y207" s="15">
        <v>100.0</v>
      </c>
      <c r="AA207" s="16">
        <v>98.0</v>
      </c>
      <c r="AB207" s="17">
        <v>100.0</v>
      </c>
      <c r="AD207" s="18">
        <v>9.0</v>
      </c>
      <c r="AE207" s="19"/>
      <c r="AF207" s="20">
        <v>9.0</v>
      </c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ht="4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AD208" s="21">
        <v>9.0</v>
      </c>
      <c r="AE208" s="22">
        <v>9.0</v>
      </c>
      <c r="AF208" s="23">
        <v>9.0</v>
      </c>
      <c r="AG208" s="2"/>
      <c r="AH208" s="2"/>
      <c r="AI208" s="2"/>
      <c r="AJ208" s="7">
        <v>320.0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ht="4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Q209" s="27" t="s">
        <v>42</v>
      </c>
      <c r="R209" s="28" t="s">
        <v>190</v>
      </c>
      <c r="S209" s="29" t="s">
        <v>190</v>
      </c>
      <c r="T209" s="30"/>
      <c r="U209" s="31" t="s">
        <v>179</v>
      </c>
      <c r="V209" s="29" t="s">
        <v>191</v>
      </c>
      <c r="W209" s="30"/>
      <c r="X209" s="110" t="s">
        <v>192</v>
      </c>
      <c r="Y209" s="106" t="s">
        <v>193</v>
      </c>
      <c r="AA209" s="87" t="s">
        <v>194</v>
      </c>
      <c r="AD209" s="2"/>
      <c r="AE209" s="2"/>
      <c r="AF209" s="2"/>
      <c r="AG209" s="2"/>
      <c r="AH209" s="80">
        <v>-200.0</v>
      </c>
      <c r="AI209" s="80">
        <v>-196.0</v>
      </c>
      <c r="AJ209" s="59">
        <v>4.0</v>
      </c>
      <c r="AK209" s="2"/>
      <c r="AL209" s="1" t="s">
        <v>195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ht="4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Q210" s="81" t="s">
        <v>43</v>
      </c>
      <c r="R210" s="100" t="s">
        <v>196</v>
      </c>
      <c r="S210" s="107" t="s">
        <v>197</v>
      </c>
      <c r="T210" s="84"/>
      <c r="U210" s="108" t="s">
        <v>198</v>
      </c>
      <c r="V210" s="109" t="s">
        <v>198</v>
      </c>
      <c r="W210" s="94"/>
      <c r="X210" s="85" t="s">
        <v>73</v>
      </c>
      <c r="Y210" s="86" t="s">
        <v>73</v>
      </c>
      <c r="AA210" s="87" t="s">
        <v>199</v>
      </c>
      <c r="AD210" s="2"/>
      <c r="AE210" s="2"/>
      <c r="AF210" s="2"/>
      <c r="AG210" s="2"/>
      <c r="AH210" s="80">
        <v>124.0</v>
      </c>
      <c r="AI210" s="80">
        <v>128.0</v>
      </c>
      <c r="AJ210" s="59">
        <v>4.0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ht="4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89">
        <v>324.0</v>
      </c>
      <c r="AI211" s="59">
        <v>324.0</v>
      </c>
      <c r="AJ211" s="17">
        <v>328.0</v>
      </c>
      <c r="AK211" s="2"/>
      <c r="AL211" s="1" t="s">
        <v>200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ht="4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" t="s">
        <v>47</v>
      </c>
      <c r="M212" s="1" t="s">
        <v>38</v>
      </c>
      <c r="N212" s="1" t="s">
        <v>201</v>
      </c>
      <c r="O212" s="2"/>
      <c r="P212" s="1" t="s">
        <v>13</v>
      </c>
      <c r="Q212" s="1" t="s">
        <v>39</v>
      </c>
      <c r="R212" s="3">
        <v>-81.0</v>
      </c>
      <c r="S212" s="4">
        <v>-79.0</v>
      </c>
      <c r="U212" s="3">
        <v>-81.0</v>
      </c>
      <c r="V212" s="4">
        <v>-79.0</v>
      </c>
      <c r="W212" s="2"/>
      <c r="X212" s="3">
        <v>-81.0</v>
      </c>
      <c r="Y212" s="5">
        <v>-79.0</v>
      </c>
      <c r="AA212" s="6">
        <v>-81.0</v>
      </c>
      <c r="AB212" s="7">
        <v>-79.0</v>
      </c>
      <c r="AC212" s="1" t="s">
        <v>39</v>
      </c>
      <c r="AD212" s="8">
        <v>10.0</v>
      </c>
      <c r="AE212" s="9">
        <v>10.0</v>
      </c>
      <c r="AF212" s="10">
        <v>10.0</v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ht="4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1">
        <v>80.0</v>
      </c>
      <c r="Q213" s="2"/>
      <c r="R213" s="12">
        <v>119.0</v>
      </c>
      <c r="S213" s="13">
        <v>121.0</v>
      </c>
      <c r="T213" s="2"/>
      <c r="U213" s="14">
        <v>119.0</v>
      </c>
      <c r="V213" s="15">
        <v>121.0</v>
      </c>
      <c r="W213" s="2"/>
      <c r="X213" s="12">
        <v>119.0</v>
      </c>
      <c r="Y213" s="15">
        <v>121.0</v>
      </c>
      <c r="AA213" s="16">
        <v>119.0</v>
      </c>
      <c r="AB213" s="17">
        <v>121.0</v>
      </c>
      <c r="AD213" s="18">
        <v>10.0</v>
      </c>
      <c r="AE213" s="19"/>
      <c r="AF213" s="20">
        <v>10.0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ht="4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AD214" s="21">
        <v>10.0</v>
      </c>
      <c r="AE214" s="22">
        <v>10.0</v>
      </c>
      <c r="AF214" s="23">
        <v>10.0</v>
      </c>
      <c r="AG214" s="2"/>
      <c r="AH214" s="2"/>
      <c r="AI214" s="2"/>
      <c r="AJ214" s="7">
        <v>396.0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ht="4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Q215" s="27" t="s">
        <v>42</v>
      </c>
      <c r="R215" s="28" t="s">
        <v>202</v>
      </c>
      <c r="S215" s="29" t="s">
        <v>202</v>
      </c>
      <c r="T215" s="30"/>
      <c r="U215" s="31" t="s">
        <v>191</v>
      </c>
      <c r="V215" s="29" t="s">
        <v>203</v>
      </c>
      <c r="W215" s="30"/>
      <c r="X215" s="110" t="s">
        <v>204</v>
      </c>
      <c r="Y215" s="106" t="s">
        <v>205</v>
      </c>
      <c r="AA215" s="87" t="s">
        <v>206</v>
      </c>
      <c r="AD215" s="2"/>
      <c r="AE215" s="2"/>
      <c r="AF215" s="2"/>
      <c r="AG215" s="2"/>
      <c r="AH215" s="80">
        <v>-242.0</v>
      </c>
      <c r="AI215" s="80">
        <v>-238.0</v>
      </c>
      <c r="AJ215" s="59">
        <v>4.0</v>
      </c>
      <c r="AK215" s="2"/>
      <c r="AL215" s="1" t="s">
        <v>207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ht="4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Q216" s="81" t="s">
        <v>43</v>
      </c>
      <c r="R216" s="100" t="s">
        <v>208</v>
      </c>
      <c r="S216" s="107" t="s">
        <v>209</v>
      </c>
      <c r="T216" s="84"/>
      <c r="U216" s="108" t="s">
        <v>210</v>
      </c>
      <c r="V216" s="109" t="s">
        <v>210</v>
      </c>
      <c r="W216" s="94"/>
      <c r="X216" s="85" t="s">
        <v>73</v>
      </c>
      <c r="Y216" s="86" t="s">
        <v>73</v>
      </c>
      <c r="AA216" s="87" t="s">
        <v>211</v>
      </c>
      <c r="AD216" s="2"/>
      <c r="AE216" s="2"/>
      <c r="AF216" s="2"/>
      <c r="AG216" s="2"/>
      <c r="AH216" s="80">
        <v>158.0</v>
      </c>
      <c r="AI216" s="80">
        <v>162.0</v>
      </c>
      <c r="AJ216" s="59">
        <v>4.0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ht="4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89">
        <v>400.0</v>
      </c>
      <c r="AI217" s="59">
        <v>400.0</v>
      </c>
      <c r="AJ217" s="17">
        <v>404.0</v>
      </c>
      <c r="AK217" s="2"/>
      <c r="AL217" s="1" t="s">
        <v>212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ht="4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ht="4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ht="4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ht="4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ht="4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ht="4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ht="4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ht="4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ht="4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ht="4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ht="4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ht="4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ht="4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ht="4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ht="4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ht="4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ht="4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ht="4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ht="4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ht="4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ht="4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ht="4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ht="4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ht="4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ht="4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ht="4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ht="4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ht="4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ht="4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ht="4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ht="4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ht="4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ht="4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ht="4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ht="4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ht="4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ht="4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ht="4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ht="4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ht="4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ht="4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ht="4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ht="4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ht="4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ht="4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ht="4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ht="4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ht="4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ht="4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ht="4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ht="4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ht="4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ht="4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ht="4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ht="4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ht="4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ht="4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ht="4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ht="4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ht="4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ht="4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ht="4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ht="4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ht="4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ht="4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ht="4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ht="4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ht="4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ht="4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ht="4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ht="4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ht="4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ht="4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ht="4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ht="4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ht="4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ht="4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ht="4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ht="4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ht="4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ht="4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ht="4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ht="4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ht="4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ht="4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ht="4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ht="4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ht="4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ht="4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ht="4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ht="4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ht="4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ht="4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ht="4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ht="4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ht="4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ht="4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ht="4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ht="4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ht="4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ht="4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ht="4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ht="4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ht="4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ht="4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ht="4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ht="4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ht="4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ht="4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ht="4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ht="4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ht="4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ht="4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ht="4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ht="4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ht="4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ht="4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ht="4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ht="4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ht="4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ht="4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ht="4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ht="4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ht="4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ht="4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ht="4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ht="4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ht="4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ht="4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ht="4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ht="4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ht="4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ht="4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ht="4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ht="4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ht="4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ht="4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ht="4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ht="4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ht="4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ht="4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ht="4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ht="4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ht="4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ht="4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ht="4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ht="4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ht="4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ht="4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ht="4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ht="4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ht="4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ht="4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ht="4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ht="4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ht="4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ht="4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ht="4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ht="4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ht="4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ht="4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ht="4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ht="4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ht="4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ht="4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ht="4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ht="4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ht="4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ht="4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ht="4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ht="4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ht="4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ht="4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ht="4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ht="4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ht="4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ht="4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ht="4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ht="4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ht="4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ht="4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ht="4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ht="4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ht="4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ht="4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ht="4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ht="4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ht="4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ht="4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ht="4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ht="4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ht="4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ht="4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ht="4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ht="4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ht="4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ht="4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ht="4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ht="4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ht="4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ht="4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ht="4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ht="4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ht="4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ht="4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ht="4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ht="4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ht="4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ht="4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ht="4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ht="4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ht="4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ht="4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ht="4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ht="4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ht="4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ht="4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ht="4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ht="4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ht="4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ht="4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ht="4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ht="4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ht="4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ht="4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ht="4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ht="4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ht="4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ht="4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ht="4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ht="4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ht="4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ht="4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ht="4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ht="4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ht="4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ht="4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ht="4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ht="4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ht="4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ht="4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ht="4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ht="4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ht="4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ht="4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ht="4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ht="4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ht="4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ht="4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ht="4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ht="4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ht="4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ht="4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ht="4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ht="4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ht="4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ht="4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ht="4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ht="4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ht="4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ht="4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ht="4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ht="4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ht="4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ht="4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ht="4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ht="4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ht="4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ht="4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ht="4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ht="4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ht="4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ht="4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ht="4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ht="4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ht="4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ht="4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ht="4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ht="4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ht="4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ht="4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ht="4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ht="4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ht="4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ht="4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ht="4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ht="4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ht="4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ht="4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ht="4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ht="4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ht="4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ht="4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ht="4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ht="4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ht="4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ht="4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ht="4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ht="4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ht="4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ht="4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ht="4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ht="4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ht="4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ht="4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ht="4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ht="4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ht="4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ht="4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ht="4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ht="4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ht="4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ht="4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ht="4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ht="4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ht="4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ht="4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ht="4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ht="4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ht="4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ht="4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ht="4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ht="4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ht="4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ht="4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ht="4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ht="4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ht="4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ht="4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ht="4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ht="4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ht="4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ht="4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ht="4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ht="4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ht="4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ht="4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ht="4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ht="4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ht="4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ht="4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ht="4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ht="4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ht="4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ht="4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ht="4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ht="4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ht="4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ht="4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ht="4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ht="4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ht="4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ht="4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ht="4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ht="4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ht="4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ht="4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ht="4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ht="4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ht="4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ht="4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ht="4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ht="4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ht="4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ht="4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ht="4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ht="4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ht="4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ht="4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ht="4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ht="4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ht="4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ht="4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ht="4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ht="4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ht="4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ht="4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ht="4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ht="4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ht="4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ht="4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ht="4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ht="4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ht="4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ht="4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ht="4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ht="4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ht="4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ht="4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ht="4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ht="4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ht="4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ht="4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ht="4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ht="4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ht="4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ht="4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ht="4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ht="4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ht="4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ht="4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ht="4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ht="4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ht="4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ht="4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ht="4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ht="4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ht="4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ht="4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ht="4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ht="4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ht="4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ht="4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ht="4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ht="4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ht="4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ht="4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ht="4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ht="4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ht="4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ht="4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ht="4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ht="4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ht="4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ht="4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ht="4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ht="4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ht="4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ht="4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ht="4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ht="4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ht="4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ht="4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ht="4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ht="4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ht="4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ht="4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ht="4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ht="4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ht="4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ht="4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ht="4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ht="4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ht="4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ht="4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ht="4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ht="4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ht="4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ht="4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ht="4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ht="4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ht="4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ht="4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ht="4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ht="4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ht="4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ht="4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ht="4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ht="4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ht="4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ht="4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ht="4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ht="4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ht="4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ht="4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ht="4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ht="4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ht="4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ht="4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ht="4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ht="4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ht="4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ht="4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ht="4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ht="4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ht="4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ht="4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ht="4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ht="4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ht="4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ht="4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ht="4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ht="4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ht="4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ht="4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ht="4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ht="4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ht="4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ht="4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ht="4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ht="4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ht="4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ht="4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ht="4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ht="4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ht="4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ht="4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ht="4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ht="4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ht="4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ht="4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ht="4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ht="4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ht="4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ht="4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ht="4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ht="4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ht="4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ht="4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ht="4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ht="4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ht="4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ht="4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ht="4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ht="4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ht="4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ht="4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ht="4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ht="4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ht="4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ht="4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ht="4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ht="4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ht="4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ht="4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ht="4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ht="4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ht="4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ht="4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ht="4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ht="4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ht="4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ht="4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ht="4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ht="4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ht="4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ht="4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ht="4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ht="4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ht="4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ht="4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ht="4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ht="4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ht="4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ht="4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ht="4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ht="4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ht="4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ht="4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ht="4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ht="4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ht="4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ht="4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ht="4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ht="4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ht="4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ht="4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ht="4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ht="4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ht="4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ht="4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ht="4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ht="4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ht="4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ht="4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ht="4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ht="4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ht="4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ht="4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ht="4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ht="4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ht="4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ht="4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ht="4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ht="4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ht="4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ht="4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ht="4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ht="4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ht="4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ht="4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ht="4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ht="4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ht="4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ht="4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ht="4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ht="4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ht="4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ht="4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ht="4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ht="4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ht="4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ht="4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ht="4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ht="4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ht="4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ht="4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ht="4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ht="4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ht="4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ht="4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ht="4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ht="4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ht="4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ht="4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ht="4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ht="4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ht="4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ht="4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ht="4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ht="4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ht="4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ht="4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ht="4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ht="4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ht="4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ht="4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ht="4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ht="4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ht="4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ht="4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ht="4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ht="4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ht="4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ht="4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ht="4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ht="4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ht="4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ht="4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ht="4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ht="4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ht="4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ht="4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ht="4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ht="4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ht="4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ht="4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ht="4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ht="4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ht="4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ht="4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ht="4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ht="4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ht="4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ht="4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ht="4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ht="4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ht="4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ht="4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ht="4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ht="4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ht="4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ht="4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ht="4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ht="4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ht="4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ht="4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ht="4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ht="4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ht="4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ht="4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ht="4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ht="4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ht="4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ht="4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ht="4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ht="4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ht="4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ht="4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ht="4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ht="4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ht="4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ht="4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ht="4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ht="4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ht="4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ht="4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ht="4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ht="4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ht="4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ht="4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ht="4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ht="4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ht="4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ht="4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ht="4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ht="4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ht="4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ht="4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ht="4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ht="4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ht="4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ht="4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ht="4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ht="4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ht="4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ht="4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ht="4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ht="4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ht="4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ht="4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ht="4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ht="4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ht="4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ht="4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ht="4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ht="4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ht="4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ht="4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ht="4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ht="4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ht="4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ht="4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ht="4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ht="4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ht="4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ht="4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ht="4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ht="4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ht="4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ht="4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ht="4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ht="4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ht="4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ht="4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ht="4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ht="4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ht="4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ht="4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ht="4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ht="4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ht="4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ht="4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ht="4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ht="4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ht="4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ht="4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ht="4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ht="4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ht="4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ht="4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ht="4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ht="4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ht="4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ht="4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ht="4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ht="4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ht="4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ht="4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ht="4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ht="4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ht="4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ht="4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ht="4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ht="4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ht="4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ht="4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ht="4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ht="4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ht="4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ht="4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ht="4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ht="4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ht="4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ht="4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ht="4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ht="4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ht="4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ht="4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ht="4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</sheetData>
  <drawing r:id="rId1"/>
</worksheet>
</file>